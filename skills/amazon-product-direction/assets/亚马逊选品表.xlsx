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6e3cd57c9e48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类目判断" sheetId="1" r:id="R7d6832fb5eb946d5"/>
    <x:sheet xmlns:r="http://schemas.openxmlformats.org/officeDocument/2006/relationships" name="选品表" sheetId="2" r:id="R1b4b9ba6797e4731"/>
    <x:sheet xmlns:r="http://schemas.openxmlformats.org/officeDocument/2006/relationships" name="市场与关键词" sheetId="3" r:id="Ra9164af1baa4444b"/>
    <x:sheet xmlns:r="http://schemas.openxmlformats.org/officeDocument/2006/relationships" name="差评分析" sheetId="4" r:id="R349e7d6278ac4e01"/>
    <x:sheet xmlns:r="http://schemas.openxmlformats.org/officeDocument/2006/relationships" name="初筛规则" sheetId="5" r:id="Rad5651cfa88144ca"/>
    <x:sheet xmlns:r="http://schemas.openxmlformats.org/officeDocument/2006/relationships" name="选品方法" sheetId="6" r:id="Rb4cdac618bae4632"/>
    <x:sheet xmlns:r="http://schemas.openxmlformats.org/officeDocument/2006/relationships" name="竞争分析" sheetId="7" r:id="Rfb5ae4cf276445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yyyy-mm-dd"/>
    <x:numFmt numFmtId="201" formatCode="0.0"/>
    <x:numFmt numFmtId="202" formatCode="#,##0.00"/>
    <x:numFmt numFmtId="203" formatCode="0.0%"/>
    <x:numFmt numFmtId="204" formatCode="0%"/>
    <x:numFmt numFmtId="205" formatCode="0"/>
    <x:numFmt numFmtId="206" formatCode="0.00"/>
  </x:numFmts>
  <x:fonts count="5">
    <x:font>
      <x:sz val="11"/>
      <x:name val="Carlito"/>
    </x:font>
    <x:font>
      <x:sz val="11"/>
      <x:color rgb="FF243247"/>
      <x:name val="Arial"/>
    </x:font>
    <x:font>
      <x:b/>
      <x:sz val="15"/>
      <x:color rgb="FF192E4A"/>
      <x:name val="Arial"/>
    </x:font>
    <x:font>
      <x:i/>
      <x:sz val="11"/>
      <x:color rgb="FF596675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4D5"/>
      </x:patternFill>
    </x:fill>
    <x:fill>
      <x:patternFill patternType="solid">
        <x:fgColor rgb="FF263D59"/>
      </x:patternFill>
    </x:fill>
  </x:fills>
  <x:borders count="4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5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1" fontId="1" fillId="2" borderId="0" xfId="0" applyNumberFormat="1" applyFont="1" applyFill="1" applyBorder="1" applyAlignment="1">
      <x:alignment vertical="center"/>
    </x:xf>
    <x:xf numFmtId="202" fontId="1" fillId="2" borderId="0" xfId="0" applyNumberFormat="1" applyFont="1" applyFill="1" applyBorder="1" applyAlignment="1">
      <x:alignment vertical="center"/>
    </x:xf>
    <x:xf numFmtId="203" fontId="1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4" fillId="3" borderId="2" xfId="0" applyNumberFormat="1" applyFont="1" applyFill="1" applyBorder="1" applyAlignment="1">
      <x:alignment horizontal="center" vertical="center" wrapText="1"/>
    </x:xf>
    <x:xf numFmtId="0" fontId="4" fillId="3" borderId="3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2" borderId="0" xfId="0" applyNumberFormat="1" applyFont="1" applyFill="1" applyBorder="1" applyAlignment="1">
      <x:alignment vertical="center" wrapText="1"/>
    </x:xf>
    <x:xf numFmtId="202" fontId="1" fillId="2" borderId="0" xfId="0" applyNumberFormat="1" applyFont="1" applyFill="1" applyBorder="1" applyAlignment="1">
      <x:alignment vertical="center" wrapText="1"/>
    </x:xf>
    <x:xf numFmtId="203" fontId="1" fillId="2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4" fontId="1" fillId="0" borderId="0" xfId="0" applyNumberFormat="1" applyFont="1" applyFill="1" applyBorder="1" applyAlignment="1">
      <x:alignment vertical="center"/>
    </x:xf>
    <x:xf numFmtId="204" fontId="1" fillId="2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horizontal="center" vertical="center"/>
    </x:xf>
    <x:xf numFmtId="204" fontId="1" fillId="2" borderId="0" xfId="0" applyNumberFormat="1" applyFont="1" applyFill="1" applyBorder="1" applyAlignment="1">
      <x:alignment vertical="center" wrapText="1"/>
    </x:xf>
    <x:xf numFmtId="205" fontId="1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 applyAlignment="1">
      <x:alignment horizontal="center" wrapText="1"/>
    </x:xf>
    <x:xf numFmtId="0" fontId="4" fillId="3" borderId="1" xfId="0" applyNumberFormat="1" applyFont="1" applyFill="1" applyBorder="1" applyAlignment="1">
      <x:alignment horizontal="center" wrapText="1"/>
    </x:xf>
    <x:xf numFmtId="0" fontId="4" fillId="3" borderId="2" xfId="0" applyNumberFormat="1" applyFont="1" applyFill="1" applyBorder="1" applyAlignment="1">
      <x:alignment horizontal="center" wrapText="1"/>
    </x:xf>
    <x:xf numFmtId="0" fontId="4" fillId="3" borderId="3" xfId="0" applyNumberFormat="1" applyFont="1" applyFill="1" applyBorder="1" applyAlignment="1">
      <x:alignment horizontal="center" wrapText="1"/>
    </x:xf>
    <x:xf numFmtId="204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 applyAlignment="1">
      <x:alignment wrapText="1"/>
    </x:xf>
    <x:xf numFmtId="204" fontId="1" fillId="0" borderId="0" xfId="0" applyNumberFormat="1" applyFont="1" applyFill="1" applyBorder="1" applyAlignment="1">
      <x:alignment wrapText="1"/>
    </x:xf>
    <x:xf numFmtId="206" fontId="1" fillId="0" borderId="0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vertical="center" wrapText="1"/>
    </x:xf>
    <x:xf numFmtId="206" fontId="1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b/>
        <x:color rgb="FF9E3030"/>
      </x:font>
      <x:fill>
        <x:patternFill patternType="solid">
          <x:bgColor rgb="FFFCE7E7"/>
        </x:patternFill>
      </x:fill>
    </x:dxf>
    <x:dxf>
      <x:font>
        <x:color rgb="FF92580C"/>
      </x:font>
      <x:fill>
        <x:patternFill patternType="solid">
          <x:bgColor rgb="FFFFF0D8"/>
        </x:patternFill>
      </x:fill>
    </x:dxf>
    <x:dxf>
      <x:font>
        <x:color rgb="FF9E3030"/>
      </x:font>
      <x:fill>
        <x:patternFill patternType="solid">
          <x:bgColor rgb="FFFCE7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af3f6b4b9d4d68" /><Relationship Type="http://schemas.openxmlformats.org/officeDocument/2006/relationships/theme" Target="/xl/theme/theme1.xml" Id="R8d4a20c9d9184de1" /><Relationship Type="http://schemas.openxmlformats.org/officeDocument/2006/relationships/sharedStrings" Target="/xl/sharedStrings.xml" Id="Rb1635f753d7e470f" /><Relationship Type="http://schemas.openxmlformats.org/officeDocument/2006/relationships/worksheet" Target="/xl/worksheets/sheet1.xml" Id="R7d6832fb5eb946d5" /><Relationship Type="http://schemas.openxmlformats.org/officeDocument/2006/relationships/worksheet" Target="/xl/worksheets/sheet2.xml" Id="R1b4b9ba6797e4731" /><Relationship Type="http://schemas.openxmlformats.org/officeDocument/2006/relationships/worksheet" Target="/xl/worksheets/sheet3.xml" Id="Ra9164af1baa4444b" /><Relationship Type="http://schemas.openxmlformats.org/officeDocument/2006/relationships/worksheet" Target="/xl/worksheets/sheet4.xml" Id="R349e7d6278ac4e01" /><Relationship Type="http://schemas.openxmlformats.org/officeDocument/2006/relationships/worksheet" Target="/xl/worksheets/sheet5.xml" Id="Rad5651cfa88144ca" /><Relationship Type="http://schemas.openxmlformats.org/officeDocument/2006/relationships/worksheet" Target="/xl/worksheets/sheet6.xml" Id="Rb4cdac618bae4632" /><Relationship Type="http://schemas.openxmlformats.org/officeDocument/2006/relationships/worksheet" Target="/xl/worksheets/sheet7.xml" Id="Rfb5ae4cf27644542" /></Relationships>
</file>

<file path=xl/tables/table1.xml><?xml version="1.0" encoding="utf-8"?>
<x:table xmlns:x="http://schemas.openxmlformats.org/spreadsheetml/2006/main" id="4" name="Competitors" displayName="Competitors" ref="A5:AU25" headerRowCount="1" totalsRowCount="0" totalsRowShown="0">
  <x:autoFilter ref="A5:AU25"/>
  <x:tableColumns count="47">
    <x:tableColumn id="1" name="排名"/>
    <x:tableColumn id="2" name="产品名称"/>
    <x:tableColumn id="3" name="类目"/>
    <x:tableColumn id="4" name="核心关键词"/>
    <x:tableColumn id="5" name="ASIN"/>
    <x:tableColumn id="6" name="价格"/>
    <x:tableColumn id="7" name="评论数"/>
    <x:tableColumn id="8" name="评分"/>
    <x:tableColumn id="9" name="竞争程度"/>
    <x:tableColumn id="10" name="变体数"/>
    <x:tableColumn id="11" name="上架时间"/>
    <x:tableColumn id="12" name="FBA/FBM"/>
    <x:tableColumn id="13" name="进货价"/>
    <x:tableColumn id="14" name="毛利润"/>
    <x:tableColumn id="15" name="毛利率"/>
    <x:tableColumn id="16" name="主要差评"/>
    <x:tableColumn id="17" name="是否有专利"/>
    <x:tableColumn id="18" name="是否A+"/>
    <x:tableColumn id="19" name="选品方法"/>
    <x:tableColumn id="20" name="商品链接"/>
    <x:tableColumn id="21" name="数据来源"/>
    <x:tableColumn id="22" name="采集日期"/>
    <x:tableColumn id="23" name="父ASIN"/>
    <x:tableColumn id="24" name="变体策略"/>
    <x:tableColumn id="25" name="评论口径"/>
    <x:tableColumn id="26" name="头程"/>
    <x:tableColumn id="27" name="平台佣金"/>
    <x:tableColumn id="28" name="履约费"/>
    <x:tableColumn id="29" name="包装及其他成本"/>
    <x:tableColumn id="30" name="成本状态"/>
    <x:tableColumn id="31" name="是否错配"/>
    <x:tableColumn id="32" name="广告成本"/>
    <x:tableColumn id="33" name="仓储"/>
    <x:tableColumn id="34" name="税费"/>
    <x:tableColumn id="35" name="退货损耗"/>
    <x:tableColumn id="36" name="净利润"/>
    <x:tableColumn id="37" name="净利率"/>
    <x:tableColumn id="38" name="利润判断"/>
    <x:tableColumn id="39" name="辅助选品方法"/>
    <x:tableColumn id="40" name="初筛得分"/>
    <x:tableColumn id="41" name="评分覆盖率"/>
    <x:tableColumn id="42" name="初筛状态"/>
    <x:tableColumn id="43" name="市场容量分"/>
    <x:tableColumn id="44" name="市场竞争分"/>
    <x:tableColumn id="45" name="关键词分"/>
    <x:tableColumn id="46" name="差异化分"/>
    <x:tableColumn id="47" name="初筛依据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MarketEvidence" displayName="MarketEvidence" ref="A5:N25" headerRowCount="1" totalsRowCount="0" totalsRowShown="0">
  <x:autoFilter ref="A5:N25"/>
  <x:tableColumns count="14">
    <x:tableColumn id="1" name="分析维度"/>
    <x:tableColumn id="2" name="关键词／指标"/>
    <x:tableColumn id="3" name="买家意图／定义"/>
    <x:tableColumn id="4" name="数值／观察"/>
    <x:tableColumn id="5" name="单位"/>
    <x:tableColumn id="6" name="统计周期"/>
    <x:tableColumn id="7" name="站点"/>
    <x:tableColumn id="8" name="趋势／季节性"/>
    <x:tableColumn id="9" name="竞争／相关性"/>
    <x:tableColumn id="10" name="差异化启示"/>
    <x:tableColumn id="11" name="来源"/>
    <x:tableColumn id="12" name="采集日期"/>
    <x:tableColumn id="13" name="数据状态"/>
    <x:tableColumn id="14" name="限制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ReviewSamples" displayName="ReviewSamples" ref="A5:N25" headerRowCount="1" totalsRowCount="0" totalsRowShown="0">
  <x:autoFilter ref="A5:N25"/>
  <x:tableColumns count="14">
    <x:tableColumn id="1" name="ASIN"/>
    <x:tableColumn id="2" name="星级"/>
    <x:tableColumn id="3" name="评论日期"/>
    <x:tableColumn id="4" name="原文短摘／摘要"/>
    <x:tableColumn id="5" name="问题分类"/>
    <x:tableColumn id="6" name="具体问题"/>
    <x:tableColumn id="7" name="使用场景"/>
    <x:tableColumn id="8" name="产品改进方向"/>
    <x:tableColumn id="9" name="样本内出现次数"/>
    <x:tableColumn id="10" name="采样范围"/>
    <x:tableColumn id="11" name="评论链接／ID"/>
    <x:tableColumn id="12" name="数据来源"/>
    <x:tableColumn id="13" name="采集日期"/>
    <x:tableColumn id="14" name="备注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3" name="SelectionMethods" displayName="SelectionMethods" ref="A5:S20" headerRowCount="1" totalsRowCount="0" totalsRowShown="0">
  <x:autoFilter ref="A5:S20"/>
  <x:tableColumns count="19">
    <x:tableColumn id="1" name="选品方法"/>
    <x:tableColumn id="2" name="类型"/>
    <x:tableColumn id="3" name="对应工具／渠道"/>
    <x:tableColumn id="4" name="初筛动作"/>
    <x:tableColumn id="5" name="优点"/>
    <x:tableColumn id="6" name="缺点"/>
    <x:tableColumn id="7" name="补验动作"/>
    <x:tableColumn id="8" name="适用场景"/>
    <x:tableColumn id="9" name="启用渠道"/>
    <x:tableColumn id="10" name="需求证据分"/>
    <x:tableColumn id="11" name="差异化分"/>
    <x:tableColumn id="12" name="执行效率分"/>
    <x:tableColumn id="13" name="资源匹配分"/>
    <x:tableColumn id="14" name="获取成本分"/>
    <x:tableColumn id="15" name="方法优先分"/>
    <x:tableColumn id="16" name="建议投入权重"/>
    <x:tableColumn id="17" name="评分依据"/>
    <x:tableColumn id="18" name="工具来源"/>
    <x:tableColumn id="19" name="核查日期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ompetitionEvidence" displayName="CompetitionEvidence" ref="A5:O24" headerRowCount="1" totalsRowCount="0" totalsRowShown="0">
  <x:autoFilter ref="A5:O24"/>
  <x:tableColumns count="15">
    <x:tableColumn id="1" name="分析层级"/>
    <x:tableColumn id="2" name="选品分析方法"/>
    <x:tableColumn id="3" name="研究对象"/>
    <x:tableColumn id="4" name="指标"/>
    <x:tableColumn id="5" name="观察／数值"/>
    <x:tableColumn id="6" name="单位"/>
    <x:tableColumn id="7" name="样本范围"/>
    <x:tableColumn id="8" name="统计定义"/>
    <x:tableColumn id="9" name="数据覆盖"/>
    <x:tableColumn id="10" name="判断规则"/>
    <x:tableColumn id="11" name="信号／分析"/>
    <x:tableColumn id="12" name="数据来源"/>
    <x:tableColumn id="13" name="采集日期"/>
    <x:tableColumn id="14" name="数据状态"/>
    <x:tableColumn id="15" name="限制与缺口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82d75e25018428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176a40f3cbc4d7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6a4041127c0479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56c2398aa8a047f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2344781ce51549e6" /></Relationships>
</file>

<file path=xl/worksheets/sheet1.xml><?xml version="1.0" encoding="utf-8"?>
<x:worksheet xmlns:x="http://schemas.openxmlformats.org/spreadsheetml/2006/main">
  <x:sheetPr>
    <x:tabColor rgb="FF263D59"/>
  </x:sheetPr>
  <x:sheetViews>
    <x:sheetView showGridLines="0" workbookViewId="0"/>
  </x:sheetViews>
  <x:sheetFormatPr defaultRowHeight="15"/>
  <x:cols>
    <x:col min="1" max="1" width="28" hidden="0" customWidth="1"/>
    <x:col min="2" max="2" width="45" hidden="0" customWidth="1"/>
    <x:col min="3" max="3" width="46" hidden="0" customWidth="1"/>
    <x:col min="4" max="4" width="58" hidden="0" customWidth="1"/>
  </x:cols>
  <x:sheetData>
    <x:row r="1" ht="28" customHeight="1">
      <x:c r="A1" s="2"/>
      <x:c r="B1" s="2"/>
      <x:c r="C1" s="2"/>
      <x:c r="D1" s="2"/>
    </x:row>
    <x:row r="2" ht="28" customHeight="1">
      <x:c r="A2" s="3" t="str">
        <x:v>亚马逊选品判断</x:v>
      </x:c>
      <x:c r="B2" s="2"/>
      <x:c r="C2" s="2"/>
      <x:c r="D2" s="2"/>
    </x:row>
    <x:row r="3" ht="28" customHeight="1">
      <x:c r="A3" s="4" t="str">
        <x:v>市场容量、市场竞争、利润、关键词、差异化；利润一票否决</x:v>
      </x:c>
      <x:c r="B3" s="2"/>
      <x:c r="C3" s="2"/>
      <x:c r="D3" s="2"/>
    </x:row>
    <x:row r="4" ht="28" customHeight="1">
      <x:c r="A4" s="21" t="str">
        <x:v>站点</x:v>
      </x:c>
      <x:c r="B4" s="22"/>
      <x:c r="C4" s="21"/>
      <x:c r="D4" s="21" t="str">
        <x:v>待确定排名、配送地区与来源</x:v>
      </x:c>
    </x:row>
    <x:row r="5" ht="28" customHeight="1">
      <x:c r="A5" s="21" t="str">
        <x:v>类目</x:v>
      </x:c>
      <x:c r="B5" s="22"/>
      <x:c r="C5" s="21"/>
      <x:c r="D5" s="21" t="str">
        <x:v>模板：尚未采集商品数据</x:v>
      </x:c>
    </x:row>
    <x:row r="6" ht="28" customHeight="1">
      <x:c r="A6" s="21" t="str">
        <x:v>核心关键词</x:v>
      </x:c>
      <x:c r="B6" s="22"/>
      <x:c r="C6" s="21"/>
      <x:c r="D6" s="21"/>
    </x:row>
    <x:row r="7" ht="28" customHeight="1">
      <x:c r="A7" s="21" t="str">
        <x:v>金额币种</x:v>
      </x:c>
      <x:c r="B7" s="22"/>
      <x:c r="C7" s="21"/>
      <x:c r="D7" s="21"/>
    </x:row>
    <x:row r="8" ht="28" customHeight="1">
      <x:c r="A8" s="21" t="str">
        <x:v>采集日期</x:v>
      </x:c>
      <x:c r="B8" s="23" t="d">
        <x:v>2026-10-12T00:00:00.000Z</x:v>
      </x:c>
      <x:c r="C8" s="21"/>
      <x:c r="D8" s="21"/>
    </x:row>
    <x:row r="9" ht="28" customHeight="1">
      <x:c r="A9" s="21" t="str">
        <x:v>近一年起始日期</x:v>
      </x:c>
      <x:c r="B9" s="24" t="n">
        <x:f>IF(ISNUMBER(B8),EDATE(B8,-12),"")</x:f>
        <x:v>45942</x:v>
      </x:c>
      <x:c r="C9" s="21"/>
      <x:c r="D9" s="21" t="str">
        <x:v>采集日往前12个日历月，含首尾边界</x:v>
      </x:c>
    </x:row>
    <x:row r="10" ht="28" customHeight="1">
      <x:c r="A10" s="21" t="str">
        <x:v>低评论数阈值</x:v>
      </x:c>
      <x:c r="B10" s="22" t="n">
        <x:v>1000</x:v>
      </x:c>
      <x:c r="C10" s="21"/>
      <x:c r="D10" s="21"/>
    </x:row>
    <x:row r="11" ht="28" customHeight="1">
      <x:c r="A11" s="21" t="str">
        <x:v>低评分阈值</x:v>
      </x:c>
      <x:c r="B11" s="25" t="n">
        <x:v>4.3</x:v>
      </x:c>
      <x:c r="C11" s="21"/>
      <x:c r="D11" s="21"/>
    </x:row>
    <x:row r="12" ht="28" customHeight="1">
      <x:c r="A12" s="21" t="str">
        <x:v>目标样本数</x:v>
      </x:c>
      <x:c r="B12" s="21" t="n">
        <x:v>20</x:v>
      </x:c>
      <x:c r="C12" s="21"/>
      <x:c r="D12" s="21"/>
    </x:row>
    <x:row r="13" ht="28" customHeight="1">
      <x:c r="A13" s="21" t="str">
        <x:v>主流价格带下界</x:v>
      </x:c>
      <x:c r="B13" s="26"/>
      <x:c r="C13" s="21"/>
      <x:c r="D13" s="21" t="str">
        <x:v>待填写可比规格和主流带依据</x:v>
      </x:c>
    </x:row>
    <x:row r="14" ht="28" customHeight="1">
      <x:c r="A14" s="21" t="str">
        <x:v>主流价格带上界</x:v>
      </x:c>
      <x:c r="B14" s="26"/>
      <x:c r="C14" s="21"/>
      <x:c r="D14" s="21" t="str">
        <x:v>排除尺寸、件数及优惠差异</x:v>
      </x:c>
    </x:row>
    <x:row r="15" ht="28" customHeight="1">
      <x:c r="A15" s="21" t="str">
        <x:v>利润参考ASIN</x:v>
      </x:c>
      <x:c r="B15" s="22"/>
      <x:c r="C15" s="21"/>
      <x:c r="D15" s="21" t="str">
        <x:v>选取对应自有方案的参考竞品；成本不是竞品采购内幕</x:v>
      </x:c>
    </x:row>
    <x:row r="16" ht="28" customHeight="1">
      <x:c r="A16" s="21" t="str">
        <x:v>目标ACoS</x:v>
      </x:c>
      <x:c r="B16" s="27" t="n">
        <x:v>0.3</x:v>
      </x:c>
      <x:c r="C16" s="21"/>
      <x:c r="D16" s="21" t="str">
        <x:v>30%为用户广告情景，可修改；不是类目实测值</x:v>
      </x:c>
    </x:row>
    <x:row r="17" ht="28" customHeight="1">
      <x:c r="A17" s="21" t="str">
        <x:v>毛利安全余量</x:v>
      </x:c>
      <x:c r="B17" s="27" t="n">
        <x:v>0.05</x:v>
      </x:c>
      <x:c r="C17" s="21"/>
      <x:c r="D17" s="21" t="str">
        <x:v>35%−30%推得5个百分点余量，可调整</x:v>
      </x:c>
    </x:row>
    <x:row r="18" ht="28" customHeight="1">
      <x:c r="A18" s="21" t="str">
        <x:v>最低毛利率</x:v>
      </x:c>
      <x:c r="B18" s="28" t="n">
        <x:f>IF(COUNT(B16:B17)=2,SUM(B16:B17),"")</x:f>
        <x:v>0.35</x:v>
      </x:c>
      <x:c r="C18" s="21"/>
      <x:c r="D18" s="21" t="str">
        <x:v>毛利率须至少达到此值；ACoS按广告归因订单口径</x:v>
      </x:c>
    </x:row>
    <x:row r="19" ht="28" customHeight="1">
      <x:c r="A19" s="21" t="str">
        <x:v>当前阶段</x:v>
      </x:c>
      <x:c r="B19" s="21" t="str">
        <x:v>初筛</x:v>
      </x:c>
      <x:c r="C19" s="21"/>
      <x:c r="D19" s="21" t="str">
        <x:v>初筛可跨类目建候选池；前20分析需同站点、同关键词去重样本</x:v>
      </x:c>
    </x:row>
    <x:row r="20" ht="38" customHeight="1">
      <x:c r="A20" s="18" t="str">
        <x:v>判断项</x:v>
      </x:c>
      <x:c r="B20" s="19" t="str">
        <x:v>结果</x:v>
      </x:c>
      <x:c r="C20" s="19" t="str">
        <x:v>规则／口径</x:v>
      </x:c>
      <x:c r="D20" s="20" t="str">
        <x:v>依据与下一步</x:v>
      </x:c>
    </x:row>
    <x:row r="21" ht="48" customHeight="1">
      <x:c r="A21" s="21" t="str">
        <x:v>已采集竞品数</x:v>
      </x:c>
      <x:c r="B21" s="21" t="n">
        <x:f>COUNTA('选品表'!$E$6:$E$25)</x:f>
        <x:v>0</x:v>
      </x:c>
      <x:c r="C21" s="21" t="str">
        <x:v>20个去重父体</x:v>
      </x:c>
      <x:c r="D21" s="21" t="str">
        <x:v>不足20个不判断完整类目</x:v>
      </x:c>
    </x:row>
    <x:row r="22" ht="48" customHeight="1">
      <x:c r="A22" s="21" t="str">
        <x:v>价格有效数量</x:v>
      </x:c>
      <x:c r="B22" s="21" t="n">
        <x:f>COUNT('选品表'!$F$6:$F$25)</x:f>
        <x:v>0</x:v>
      </x:c>
      <x:c r="C22" s="21" t="str">
        <x:v>可比规格、同币种</x:v>
      </x:c>
      <x:c r="D22" s="21" t="str">
        <x:v>补规格及价格口径</x:v>
      </x:c>
    </x:row>
    <x:row r="23" ht="48" customHeight="1">
      <x:c r="A23" s="21" t="str">
        <x:v>评论数有效数量</x:v>
      </x:c>
      <x:c r="B23" s="21" t="n">
        <x:f>COUNT('选品表'!$G$6:$G$25)</x:f>
        <x:v>0</x:v>
      </x:c>
      <x:c r="C23" s="21" t="str">
        <x:v>统一评价数量口径</x:v>
      </x:c>
      <x:c r="D23" s="21" t="str">
        <x:v>缺失不计为零</x:v>
      </x:c>
    </x:row>
    <x:row r="24" ht="48" customHeight="1">
      <x:c r="A24" s="21" t="str">
        <x:v>低评论数竞品数</x:v>
      </x:c>
      <x:c r="B24" s="21" t="str">
        <x:f>IF(B23=0,"",COUNTIFS('选品表'!$E$6:$E$25,"&lt;&gt;",'选品表'!$G$6:$G$25,"&gt;=0",'选品表'!$G$6:$G$25,"&lt;"&amp;$B$10))</x:f>
      </x:c>
      <x:c r="C24" s="21" t="str">
        <x:v>严格低于B10</x:v>
      </x:c>
      <x:c r="D24" s="21" t="str">
        <x:v>阈值默认1000</x:v>
      </x:c>
    </x:row>
    <x:row r="25" ht="48" customHeight="1">
      <x:c r="A25" s="21" t="str">
        <x:v>低评论数占比</x:v>
      </x:c>
      <x:c r="B25" s="28" t="str">
        <x:f>IF(B23&lt;$B$12,"待补评论数",B24/$B$12)</x:f>
        <x:v>待补评论数</x:v>
      </x:c>
      <x:c r="C25" s="21" t="str">
        <x:v>完整20个中超过一半</x:v>
      </x:c>
      <x:c r="D25" s="21" t="str">
        <x:v>缺失时待验证</x:v>
      </x:c>
    </x:row>
    <x:row r="26" ht="48" customHeight="1">
      <x:c r="A26" s="21" t="str">
        <x:v>过万评论竞品数</x:v>
      </x:c>
      <x:c r="B26" s="21" t="str">
        <x:f>IF(B23=0,"",COUNTIFS('选品表'!$E$6:$E$25,"&lt;&gt;",'选品表'!$G$6:$G$25,"&gt;10000"))</x:f>
      </x:c>
      <x:c r="C26" s="21" t="str">
        <x:v>严格超过10000</x:v>
      </x:c>
      <x:c r="D26" s="21" t="str">
        <x:v>展示分布</x:v>
      </x:c>
    </x:row>
    <x:row r="27" ht="48" customHeight="1">
      <x:c r="A27" s="21" t="str">
        <x:v>过万评论占比</x:v>
      </x:c>
      <x:c r="B27" s="28" t="str">
        <x:f>IF(B23&lt;$B$12,"待补评论数",B26/$B$12)</x:f>
        <x:v>待补评论数</x:v>
      </x:c>
      <x:c r="C27" s="21" t="str">
        <x:v>完整前20为分母</x:v>
      </x:c>
      <x:c r="D27" s="21" t="str">
        <x:v>全20过万视为壁垒高</x:v>
      </x:c>
    </x:row>
    <x:row r="28" ht="48" customHeight="1">
      <x:c r="A28" s="21" t="str">
        <x:v>评论壁垒</x:v>
      </x:c>
      <x:c r="B28" s="21" t="str">
        <x:f>IF($B$19="初筛","初筛阶段，待前20验证",IF(B21&lt;$B$12,"样本不足",IF(B23&lt;$B$12,"待补评论数",IF(B26=$B$12,"高",IF(B24/$B$12&gt;0.5,"较低","中，复核分布")))))</x:f>
        <x:v>初筛阶段，待前20验证</x:v>
      </x:c>
      <x:c r="C28" s="21" t="str">
        <x:v>全过万：高；多数低评论：较低</x:v>
      </x:c>
      <x:c r="D28" s="21" t="str">
        <x:v>结合品牌及价格竞争</x:v>
      </x:c>
    </x:row>
    <x:row r="29" ht="48" customHeight="1">
      <x:c r="A29" s="21" t="str">
        <x:v>变体数有效数量</x:v>
      </x:c>
      <x:c r="B29" s="21" t="n">
        <x:f>COUNT('选品表'!$J$6:$J$25)</x:f>
        <x:v>0</x:v>
      </x:c>
      <x:c r="C29" s="21" t="str">
        <x:v>核实可售SKU</x:v>
      </x:c>
      <x:c r="D29" s="21" t="str">
        <x:v>不以颜色×尺寸推算</x:v>
      </x:c>
    </x:row>
    <x:row r="30" ht="48" customHeight="1">
      <x:c r="A30" s="21" t="str">
        <x:v>多变体竞品数</x:v>
      </x:c>
      <x:c r="B30" s="21" t="str">
        <x:f>IF(B29=0,"",COUNTIFS('选品表'!$E$6:$E$25,"&lt;&gt;",'选品表'!$J$6:$J$25,"&gt;1"))</x:f>
      </x:c>
      <x:c r="C30" s="21" t="str">
        <x:v>变体数大于1</x:v>
      </x:c>
      <x:c r="D30" s="21" t="str">
        <x:v>分析系列覆盖</x:v>
      </x:c>
    </x:row>
    <x:row r="31" ht="48" customHeight="1">
      <x:c r="A31" s="21" t="str">
        <x:v>最大变体数</x:v>
      </x:c>
      <x:c r="B31" s="21" t="str">
        <x:f>IF(B29=0,"",MAX('选品表'!$J$6:$J$25))</x:f>
      </x:c>
      <x:c r="C31" s="21" t="str">
        <x:v>已核实SKU数</x:v>
      </x:c>
      <x:c r="D31" s="21" t="str">
        <x:v>数量不代替覆盖分析</x:v>
      </x:c>
    </x:row>
    <x:row r="32" ht="48" customHeight="1">
      <x:c r="A32" s="21" t="str">
        <x:v>SKU策略判断</x:v>
      </x:c>
      <x:c r="B32" s="22"/>
      <x:c r="C32" s="21" t="str">
        <x:v>尺寸、颜色与切入空间</x:v>
      </x:c>
      <x:c r="D32" s="21" t="str">
        <x:v>填写具体策略</x:v>
      </x:c>
    </x:row>
    <x:row r="33" ht="48" customHeight="1">
      <x:c r="A33" s="21" t="str">
        <x:v>上架时间有效数量</x:v>
      </x:c>
      <x:c r="B33" s="21" t="n">
        <x:f>COUNT('选品表'!$K$6:$K$25)</x:f>
        <x:v>0</x:v>
      </x:c>
      <x:c r="C33" s="21" t="str">
        <x:v>首次可售日期代理值</x:v>
      </x:c>
      <x:c r="D33" s="21" t="str">
        <x:v>核查父子体迁移</x:v>
      </x:c>
    </x:row>
    <x:row r="34" ht="48" customHeight="1">
      <x:c r="A34" s="21" t="str">
        <x:v>近一年新品数量</x:v>
      </x:c>
      <x:c r="B34" s="21" t="str">
        <x:f>IF(OR(B33=0,NOT(ISNUMBER($B$8))),"",COUNTIFS('选品表'!$E$6:$E$25,"&lt;&gt;",'选品表'!$K$6:$K$25,"&gt;="&amp;$B$9,'选品表'!$K$6:$K$25,"&lt;="&amp;$B$8))</x:f>
      </x:c>
      <x:c r="C34" s="21" t="str">
        <x:v>起始日至采集日，含边界</x:v>
      </x:c>
      <x:c r="D34" s="21" t="str">
        <x:v>日期未知保持空白</x:v>
      </x:c>
    </x:row>
    <x:row r="35" ht="48" customHeight="1">
      <x:c r="A35" s="21" t="str">
        <x:v>近一年新品占比</x:v>
      </x:c>
      <x:c r="B35" s="28" t="str">
        <x:f>IF(B33&lt;$B$12,"待补上架时间",IF(ISNUMBER(B34),B34/$B$12,"待填采集日期"))</x:f>
        <x:v>待补上架时间</x:v>
      </x:c>
      <x:c r="C35" s="21" t="str">
        <x:v>完整前20为分母</x:v>
      </x:c>
      <x:c r="D35" s="21" t="str">
        <x:v>不全时待验证</x:v>
      </x:c>
    </x:row>
    <x:row r="36" ht="48" customHeight="1">
      <x:c r="A36" s="21" t="str">
        <x:v>新品友好度</x:v>
      </x:c>
      <x:c r="B36" s="21" t="str">
        <x:f>IF($B$19="初筛","初筛阶段，待前20验证",IF(B21&lt;$B$12,"样本不足",IF(B33&lt;$B$12,"待补上架时间",IF(NOT(ISNUMBER(B35)),"待填采集日期",IF(B35&gt;=0.5,"对新链接友好","新品进入较少")))))</x:f>
        <x:v>初筛阶段，待前20验证</x:v>
      </x:c>
      <x:c r="C36" s="21" t="str">
        <x:v>至少一半近一年上架</x:v>
      </x:c>
      <x:c r="D36" s="21" t="str">
        <x:v>结合实际相关性</x:v>
      </x:c>
    </x:row>
    <x:row r="37" ht="48" customHeight="1">
      <x:c r="A37" s="21" t="str">
        <x:v>错配竞品数量</x:v>
      </x:c>
      <x:c r="B37" s="21" t="str">
        <x:f>IF(OR(B21=0,NOT(ISNUMBER($B$13))),"待验证",COUNTIFS('选品表'!$AE$6:$AE$25,"是"))</x:f>
        <x:v>待验证</x:v>
      </x:c>
      <x:c r="C37" s="21" t="str">
        <x:v>低价格＋低评论＋低评分</x:v>
      </x:c>
      <x:c r="D37" s="21" t="str">
        <x:v>深查具体差评</x:v>
      </x:c>
    </x:row>
    <x:row r="38" ht="48" customHeight="1">
      <x:c r="A38" s="21" t="str">
        <x:v>错配数据缺失数量</x:v>
      </x:c>
      <x:c r="B38" s="21" t="str">
        <x:f>IF(B21=0,"",COUNTIFS('选品表'!$AE$6:$AE$25,"待验证"))</x:f>
      </x:c>
      <x:c r="C38" s="21" t="str">
        <x:v>价格／评论／评分／主流带缺失</x:v>
      </x:c>
      <x:c r="D38" s="21" t="str">
        <x:v>已有数量仅为下限</x:v>
      </x:c>
    </x:row>
    <x:row r="39" ht="48" customHeight="1">
      <x:c r="A39" s="21" t="str">
        <x:v>市场容量结论</x:v>
      </x:c>
      <x:c r="B39" s="22"/>
      <x:c r="C39" s="21" t="str">
        <x:v>需求规模、趋势、季节性</x:v>
      </x:c>
      <x:c r="D39" s="21" t="str">
        <x:v>引用市场与关键词数据</x:v>
      </x:c>
    </x:row>
    <x:row r="40" ht="48" customHeight="1">
      <x:c r="A40" s="21" t="str">
        <x:v>关键词结论</x:v>
      </x:c>
      <x:c r="B40" s="22"/>
      <x:c r="C40" s="21" t="str">
        <x:v>需求词、买家意图、相关性</x:v>
      </x:c>
      <x:c r="D40" s="21" t="str">
        <x:v>搜索量不等于销量</x:v>
      </x:c>
    </x:row>
    <x:row r="41" ht="48" customHeight="1">
      <x:c r="A41" s="21" t="str">
        <x:v>主要差评需求</x:v>
      </x:c>
      <x:c r="B41" s="22"/>
      <x:c r="C41" s="21" t="str">
        <x:v>1–3星独立评论样本</x:v>
      </x:c>
      <x:c r="D41" s="21" t="str">
        <x:v>记录频次及采样限制</x:v>
      </x:c>
    </x:row>
    <x:row r="42" ht="48" customHeight="1">
      <x:c r="A42" s="21" t="str">
        <x:v>差异化方案</x:v>
      </x:c>
      <x:c r="B42" s="22"/>
      <x:c r="C42" s="21" t="str">
        <x:v>需求对应改善、验证与成本</x:v>
      </x:c>
      <x:c r="D42" s="21" t="str">
        <x:v>复核增量成本</x:v>
      </x:c>
    </x:row>
    <x:row r="43" ht="48" customHeight="1">
      <x:c r="A43" s="21" t="str">
        <x:v>参考方案净利润</x:v>
      </x:c>
      <x:c r="B43" s="29" t="str">
        <x:f>IF($B$15="","待选择利润方案",IF(COUNTIFS('选品表'!$E$6:$E$25,$B$15)=0,"ASIN未匹配",IF(INDEX('选品表'!$AJ$6:$AJ$25,MATCH($B$15,'选品表'!$E$6:$E$25,0))="","待补利润数据",INDEX('选品表'!$AJ$6:$AJ$25,MATCH($B$15,'选品表'!$E$6:$E$25,0)))))</x:f>
        <x:v>待选择利润方案</x:v>
      </x:c>
      <x:c r="C43" s="21" t="str">
        <x:v>单件，按广告订单情景</x:v>
      </x:c>
      <x:c r="D43" s="21" t="str">
        <x:v>含广告、仓储、税费与退货</x:v>
      </x:c>
    </x:row>
    <x:row r="44" ht="48" customHeight="1">
      <x:c r="A44" s="21" t="str">
        <x:v>参考方案净利率</x:v>
      </x:c>
      <x:c r="B44" s="28" t="str">
        <x:f>IF($B$15="","待选择利润方案",IF(COUNTIFS('选品表'!$E$6:$E$25,$B$15)=0,"ASIN未匹配",IF(INDEX('选品表'!$AK$6:$AK$25,MATCH($B$15,'选品表'!$E$6:$E$25,0))="","待补利润数据",INDEX('选品表'!$AK$6:$AK$25,MATCH($B$15,'选品表'!$E$6:$E$25,0)))))</x:f>
        <x:v>待选择利润方案</x:v>
      </x:c>
      <x:c r="C44" s="21" t="str">
        <x:v>净利润÷售价</x:v>
      </x:c>
      <x:c r="D44" s="21" t="str">
        <x:v>追溯对应成本</x:v>
      </x:c>
    </x:row>
    <x:row r="45" ht="48" customHeight="1">
      <x:c r="A45" s="21" t="str">
        <x:v>利润判断</x:v>
      </x:c>
      <x:c r="B45" s="21" t="str">
        <x:f>IF($B$15="","待选择利润方案",IF(COUNTIFS('选品表'!$E$6:$E$25,$B$15)=0,"ASIN未匹配",IF(INDEX('选品表'!$AL$6:$AL$25,MATCH($B$15,'选品表'!$E$6:$E$25,0))="","待补利润数据",INDEX('选品表'!$AL$6:$AL$25,MATCH($B$15,'选品表'!$E$6:$E$25,0)))))</x:f>
        <x:v>待选择利润方案</x:v>
      </x:c>
      <x:c r="C45" s="21" t="str">
        <x:v>毛利率≥ACoS＋安全余量，且净利润&gt;0</x:v>
      </x:c>
      <x:c r="D45" s="21" t="str">
        <x:v>不达标一票否决；缺成本待验证</x:v>
      </x:c>
    </x:row>
    <x:row r="46" ht="48" customHeight="1">
      <x:c r="A46" s="21" t="str">
        <x:v>专利核查状态</x:v>
      </x:c>
      <x:c r="B46" s="22" t="str">
        <x:v>待核查</x:v>
      </x:c>
      <x:c r="C46" s="21" t="str">
        <x:v>保留范围、编号与来源</x:v>
      </x:c>
      <x:c r="D46" s="21" t="str">
        <x:v>初步未发现不等于无风险</x:v>
      </x:c>
    </x:row>
    <x:row r="47" ht="48" customHeight="1">
      <x:c r="A47" s="21" t="str">
        <x:v>初步进入结论</x:v>
      </x:c>
      <x:c r="B47" s="22" t="str">
        <x:v>待验证</x:v>
      </x:c>
      <x:c r="C47" s="21" t="str">
        <x:v>人工判断草案</x:v>
      </x:c>
      <x:c r="D47" s="21" t="str">
        <x:v>不能覆盖利润否决</x:v>
      </x:c>
    </x:row>
    <x:row r="48" ht="48" customHeight="1">
      <x:c r="A48" s="21" t="str">
        <x:v>最终进入结论</x:v>
      </x:c>
      <x:c r="B48" s="21" t="str">
        <x:f>IF(LEFT(B45,2)="否决","淘汰（利润否决）",IF(OR(B47="淘汰",B47="暂缓"),B47,IF($B$19="初筛","仅初筛，待深度验证",IF(B45&lt;&gt;"达标","待验证",IF(NOT(ISNUMBER(B50)),"待验证",IF(B50&lt;'初筛规则'!$B$14,"暂缓（初筛）",IF(B46="已确认相关风险","暂缓（专利风险）",IF(OR(B21&lt;&gt;$B$12,B23&lt;&gt;$B$12,B33&lt;&gt;$B$12,B29&lt;&gt;$B$12,B32="",B55="",B56="",B57="",B39="",B40="",B41="",B42="",B53="待补初筛数据",B52="待补方法与依据",B46="待核查",B46="发现相关专利"),"待验证",B47))))))))</x:f>
        <x:v>仅初筛，待深度验证</x:v>
      </x:c>
      <x:c r="C48" s="21" t="str">
        <x:v>受利润否决及数据完整性约束</x:v>
      </x:c>
      <x:c r="D48" s="21" t="str">
        <x:v>其他优势不能抵消利润不达标</x:v>
      </x:c>
    </x:row>
    <x:row r="49" ht="48" customHeight="1">
      <x:c r="A49" s="21" t="str">
        <x:v>下一步</x:v>
      </x:c>
      <x:c r="B49" s="22"/>
      <x:c r="C49" s="21" t="str">
        <x:v>补数据或验证动作</x:v>
      </x:c>
      <x:c r="D49" s="21" t="str">
        <x:v>明确需要取得的证据</x:v>
      </x:c>
    </x:row>
    <x:row r="50" ht="48" customHeight="1">
      <x:c r="A50" s="45" t="str">
        <x:v>参考方案初筛得分</x:v>
      </x:c>
      <x:c r="B50" s="46" t="str">
        <x:f>IF($B$15="","待选择参考方案",IF(COUNTIFS('选品表'!$E$6:$E$25,$B$15)=0,"ASIN未匹配",IF(INDEX('选品表'!$AN$6:$AN$25,MATCH($B$15,'选品表'!$E$6:$E$25,0))="","待补初筛数据",INDEX('选品表'!$AN$6:$AN$25,MATCH($B$15,'选品表'!$E$6:$E$25,0)))))</x:f>
        <x:v>待选择参考方案</x:v>
      </x:c>
      <x:c r="C50" s="45" t="str">
        <x:v>对应利润参考ASIN</x:v>
      </x:c>
      <x:c r="D50" s="45" t="str">
        <x:v>追溯选品方法与评分依据</x:v>
      </x:c>
    </x:row>
    <x:row r="51" ht="48" customHeight="1">
      <x:c r="A51" s="45" t="str">
        <x:v>参考方案评分覆盖率</x:v>
      </x:c>
      <x:c r="B51" s="47" t="str">
        <x:f>IF($B$15="","待选择参考方案",IF(COUNTIFS('选品表'!$E$6:$E$25,$B$15)=0,"ASIN未匹配",IF(INDEX('选品表'!$AO$6:$AO$25,MATCH($B$15,'选品表'!$E$6:$E$25,0))="","待补初筛数据",INDEX('选品表'!$AO$6:$AO$25,MATCH($B$15,'选品表'!$E$6:$E$25,0)))))</x:f>
        <x:v>待选择参考方案</x:v>
      </x:c>
      <x:c r="C51" s="45" t="str">
        <x:v>已评分维度的权重占比</x:v>
      </x:c>
      <x:c r="D51" s="45" t="str">
        <x:v>追溯选品方法与评分依据</x:v>
      </x:c>
    </x:row>
    <x:row r="52" ht="48" customHeight="1">
      <x:c r="A52" s="45" t="str">
        <x:v>参考方案初筛状态</x:v>
      </x:c>
      <x:c r="B52" s="45" t="str">
        <x:f>IF($B$15="","待选择参考方案",IF(COUNTIFS('选品表'!$E$6:$E$25,$B$15)=0,"ASIN未匹配",IF(INDEX('选品表'!$AP$6:$AP$25,MATCH($B$15,'选品表'!$E$6:$E$25,0))="","待补初筛数据",INDEX('选品表'!$AP$6:$AP$25,MATCH($B$15,'选品表'!$E$6:$E$25,0)))))</x:f>
        <x:v>待选择参考方案</x:v>
      </x:c>
      <x:c r="C52" s="45" t="str">
        <x:v>对应利润参考ASIN</x:v>
      </x:c>
      <x:c r="D52" s="45" t="str">
        <x:v>追溯选品方法与评分依据</x:v>
      </x:c>
    </x:row>
    <x:row r="53" ht="48" customHeight="1">
      <x:c r="A53" s="45" t="str">
        <x:v>主选品方法</x:v>
      </x:c>
      <x:c r="B53" s="45" t="str">
        <x:f>IF($B$15="","待选择参考方案",IF(COUNTIFS('选品表'!$E$6:$E$25,$B$15)=0,"ASIN未匹配",IF(INDEX('选品表'!$S$6:$S$25,MATCH($B$15,'选品表'!$E$6:$E$25,0))="","待补初筛数据",INDEX('选品表'!$S$6:$S$25,MATCH($B$15,'选品表'!$E$6:$E$25,0)))))</x:f>
        <x:v>待选择参考方案</x:v>
      </x:c>
      <x:c r="C53" s="45" t="str">
        <x:v>对应利润参考ASIN</x:v>
      </x:c>
      <x:c r="D53" s="45" t="str">
        <x:v>追溯选品方法与评分依据</x:v>
      </x:c>
    </x:row>
    <x:row r="54" ht="48" customHeight="1">
      <x:c r="A54" s="45" t="str">
        <x:v>辅助选品方法</x:v>
      </x:c>
      <x:c r="B54" s="45" t="str">
        <x:f>IF($B$15="","待选择参考方案",IF(COUNTIFS('选品表'!$E$6:$E$25,$B$15)=0,"ASIN未匹配",IF(INDEX('选品表'!$AM$6:$AM$25,MATCH($B$15,'选品表'!$E$6:$E$25,0))="","待补初筛数据",INDEX('选品表'!$AM$6:$AM$25,MATCH($B$15,'选品表'!$E$6:$E$25,0)))))</x:f>
        <x:v>待选择参考方案</x:v>
      </x:c>
      <x:c r="C54" s="45" t="str">
        <x:v>对应利润参考ASIN</x:v>
      </x:c>
      <x:c r="D54" s="45" t="str">
        <x:v>追溯选品方法与评分依据</x:v>
      </x:c>
    </x:row>
    <x:row r="55" ht="60" customHeight="1">
      <x:c r="A55" s="45" t="str">
        <x:v>类目竞争结论</x:v>
      </x:c>
      <x:c r="B55" s="45"/>
      <x:c r="C55" s="45" t="str">
        <x:v>Top100与Top50分别记录，至少一条可得路线</x:v>
      </x:c>
      <x:c r="D55" s="45" t="str">
        <x:v>见竞争分析页与逐项来源</x:v>
      </x:c>
    </x:row>
    <x:row r="56" ht="60" customHeight="1">
      <x:c r="A56" s="45" t="str">
        <x:v>关键词竞价结论</x:v>
      </x:c>
      <x:c r="B56" s="45"/>
      <x:c r="C56" s="45" t="str">
        <x:v>后台建议竞价、实际CPC与利润承受力</x:v>
      </x:c>
      <x:c r="D56" s="45" t="str">
        <x:v>见竞争分析页与逐项来源</x:v>
      </x:c>
    </x:row>
    <x:row r="57" ht="60" customHeight="1">
      <x:c r="A57" s="45" t="str">
        <x:v>竞品店铺实力</x:v>
      </x:c>
      <x:c r="B57" s="45"/>
      <x:c r="C57" s="45" t="str">
        <x:v>商品评价、商标、地区、SKU、内容、站外</x:v>
      </x:c>
      <x:c r="D57" s="45" t="str">
        <x:v>见竞争分析页与逐项来源</x:v>
      </x:c>
    </x:row>
    <x:row r="58" ht="60" customHeight="1">
      <x:c r="A58" s="45" t="str">
        <x:v>竞争工具路径</x:v>
      </x:c>
      <x:c r="B58" s="45"/>
      <x:c r="C58" s="45" t="str">
        <x:v>Sorftime或Flapen＋ASINSIGHT及覆盖</x:v>
      </x:c>
      <x:c r="D58" s="45" t="str">
        <x:v>见竞争分析页与逐项来源</x:v>
      </x:c>
    </x:row>
    <x:row r="59" ht="60" customHeight="1">
      <x:c r="A59" s="45" t="str">
        <x:v>竞争证据缺口</x:v>
      </x:c>
      <x:c r="B59" s="45"/>
      <x:c r="C59" s="45" t="str">
        <x:v>注明缺字段、样本、权限或统计定义</x:v>
      </x:c>
      <x:c r="D59" s="45" t="str">
        <x:v>见竞争分析页与逐项来源</x:v>
      </x:c>
    </x:row>
  </x:sheetData>
  <x:conditionalFormatting sqref="B48:B48">
    <x:cfRule type="containsText" dxfId="0" priority="1" operator="containsText" text="淘汰"/>
  </x:conditionalFormatting>
  <x:dataValidations count="6">
    <x:dataValidation type="list" sqref="B19">
      <x:formula1>"初筛,深度研究"</x:formula1>
    </x:dataValidation>
    <x:dataValidation type="list" sqref="B46">
      <x:formula1>"待核查,发现相关专利,初步未发现,已确认相关风险"</x:formula1>
    </x:dataValidation>
    <x:dataValidation type="list" sqref="B47">
      <x:formula1>"待验证,继续研究,可打样,暂缓,淘汰"</x:formula1>
    </x:dataValidation>
    <x:dataValidation type="whole" operator="between" sqref="B10">
      <x:formula1>1</x:formula1>
      <x:formula2>10000000</x:formula2>
    </x:dataValidation>
    <x:dataValidation type="decimal" operator="between" sqref="B11">
      <x:formula1>0.1</x:formula1>
      <x:formula2>5</x:formula2>
    </x:dataValidation>
    <x:dataValidation type="decimal" operator="between" sqref="B16:B17">
      <x:formula1>0</x:formula1>
      <x:formula2>1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8" hidden="0" customWidth="1"/>
    <x:col min="2" max="2" width="32" hidden="0" customWidth="1"/>
    <x:col min="3" max="3" width="20" hidden="0" customWidth="1"/>
    <x:col min="4" max="4" width="28" hidden="0" customWidth="1"/>
    <x:col min="5" max="5" width="16" hidden="0" customWidth="1"/>
    <x:col min="6" max="6" width="13" hidden="0" customWidth="1"/>
    <x:col min="7" max="7" width="13" hidden="0" customWidth="1"/>
    <x:col min="8" max="8" width="10" hidden="0" customWidth="1"/>
    <x:col min="9" max="9" width="28" hidden="0" customWidth="1"/>
    <x:col min="10" max="10" width="11" hidden="0" customWidth="1"/>
    <x:col min="11" max="11" width="17" hidden="0" customWidth="1"/>
    <x:col min="12" max="12" width="14" hidden="0" customWidth="1"/>
    <x:col min="13" max="13" width="13" hidden="0" customWidth="1"/>
    <x:col min="14" max="14" width="13" hidden="0" customWidth="1"/>
    <x:col min="15" max="15" width="13" hidden="0" customWidth="1"/>
    <x:col min="16" max="16" width="40" hidden="0" customWidth="1"/>
    <x:col min="17" max="17" width="21" hidden="0" customWidth="1"/>
    <x:col min="18" max="18" width="13" hidden="0" customWidth="1"/>
    <x:col min="19" max="19" width="25" hidden="0" customWidth="1"/>
    <x:col min="20" max="20" width="36" hidden="0" customWidth="1"/>
    <x:col min="21" max="21" width="52" hidden="0" customWidth="1"/>
    <x:col min="22" max="22" width="17" hidden="0" customWidth="1"/>
    <x:col min="23" max="23" width="16" hidden="0" customWidth="1"/>
    <x:col min="24" max="24" width="40" hidden="0" customWidth="1"/>
    <x:col min="25" max="25" width="36" hidden="0" customWidth="1"/>
    <x:col min="26" max="26" width="13" hidden="0" customWidth="1"/>
    <x:col min="27" max="27" width="13" hidden="0" customWidth="1"/>
    <x:col min="28" max="28" width="13" hidden="0" customWidth="1"/>
    <x:col min="29" max="29" width="20" hidden="0" customWidth="1"/>
    <x:col min="30" max="30" width="26" hidden="0" customWidth="1"/>
    <x:col min="31" max="31" width="15" hidden="0" customWidth="1"/>
    <x:col min="32" max="32" width="13" hidden="0" customWidth="1"/>
    <x:col min="33" max="33" width="13" hidden="0" customWidth="1"/>
    <x:col min="34" max="34" width="13" hidden="0" customWidth="1"/>
    <x:col min="35" max="35" width="13" hidden="0" customWidth="1"/>
    <x:col min="36" max="36" width="13" hidden="0" customWidth="1"/>
    <x:col min="37" max="37" width="13" hidden="0" customWidth="1"/>
    <x:col min="38" max="38" width="26" hidden="0" customWidth="1"/>
    <x:col min="39" max="39" width="34" hidden="0" customWidth="1"/>
    <x:col min="40" max="40" width="15" hidden="0" customWidth="1"/>
    <x:col min="41" max="41" width="17" hidden="0" customWidth="1"/>
    <x:col min="42" max="42" width="36" hidden="0" customWidth="1"/>
    <x:col min="43" max="43" width="17" hidden="0" customWidth="1"/>
    <x:col min="44" max="44" width="17" hidden="0" customWidth="1"/>
    <x:col min="45" max="45" width="15" hidden="0" customWidth="1"/>
    <x:col min="46" max="46" width="15" hidden="0" customWidth="1"/>
    <x:col min="47" max="47" width="58" hidden="0" customWidth="1"/>
  </x:cols>
  <x:sheetData>
    <x:row r="1" ht="28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</x:row>
    <x:row r="2" ht="28" customHeight="1">
      <x:c r="A2" s="3" t="str">
        <x:v>选品表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</x:row>
    <x:row r="3" ht="28" customHeight="1">
      <x:c r="A3" s="4" t="str">
        <x:v>保留商品评价星级，记录发现方法、初筛依据与利润否决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</x:row>
    <x:row r="4" ht="28" customHeight="1">
      <x:c r="A4" s="2" t="str">
        <x:v>币种：待填写。毛利润扣采购、头程、佣金、履约、包装；广告、仓储、税费、退货另计入净利润。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</x:row>
    <x:row r="5" ht="42" customHeight="1">
      <x:c r="A5" s="18" t="str">
        <x:v>排名</x:v>
      </x:c>
      <x:c r="B5" s="19" t="str">
        <x:v>产品名称</x:v>
      </x:c>
      <x:c r="C5" s="19" t="str">
        <x:v>类目</x:v>
      </x:c>
      <x:c r="D5" s="19" t="str">
        <x:v>核心关键词</x:v>
      </x:c>
      <x:c r="E5" s="19" t="str">
        <x:v>ASIN</x:v>
      </x:c>
      <x:c r="F5" s="19" t="str">
        <x:v>价格</x:v>
      </x:c>
      <x:c r="G5" s="19" t="str">
        <x:v>评论数</x:v>
      </x:c>
      <x:c r="H5" s="19" t="str">
        <x:v>评分</x:v>
      </x:c>
      <x:c r="I5" s="19" t="str">
        <x:v>竞争程度</x:v>
      </x:c>
      <x:c r="J5" s="19" t="str">
        <x:v>变体数</x:v>
      </x:c>
      <x:c r="K5" s="19" t="str">
        <x:v>上架时间</x:v>
      </x:c>
      <x:c r="L5" s="19" t="str">
        <x:v>FBA/FBM</x:v>
      </x:c>
      <x:c r="M5" s="19" t="str">
        <x:v>进货价</x:v>
      </x:c>
      <x:c r="N5" s="19" t="str">
        <x:v>毛利润</x:v>
      </x:c>
      <x:c r="O5" s="19" t="str">
        <x:v>毛利率</x:v>
      </x:c>
      <x:c r="P5" s="19" t="str">
        <x:v>主要差评</x:v>
      </x:c>
      <x:c r="Q5" s="19" t="str">
        <x:v>是否有专利</x:v>
      </x:c>
      <x:c r="R5" s="19" t="str">
        <x:v>是否A+</x:v>
      </x:c>
      <x:c r="S5" s="19" t="str">
        <x:v>选品方法</x:v>
      </x:c>
      <x:c r="T5" s="19" t="str">
        <x:v>商品链接</x:v>
      </x:c>
      <x:c r="U5" s="19" t="str">
        <x:v>数据来源</x:v>
      </x:c>
      <x:c r="V5" s="19" t="str">
        <x:v>采集日期</x:v>
      </x:c>
      <x:c r="W5" s="19" t="str">
        <x:v>父ASIN</x:v>
      </x:c>
      <x:c r="X5" s="19" t="str">
        <x:v>变体策略</x:v>
      </x:c>
      <x:c r="Y5" s="19" t="str">
        <x:v>评论口径</x:v>
      </x:c>
      <x:c r="Z5" s="19" t="str">
        <x:v>头程</x:v>
      </x:c>
      <x:c r="AA5" s="19" t="str">
        <x:v>平台佣金</x:v>
      </x:c>
      <x:c r="AB5" s="19" t="str">
        <x:v>履约费</x:v>
      </x:c>
      <x:c r="AC5" s="19" t="str">
        <x:v>包装及其他成本</x:v>
      </x:c>
      <x:c r="AD5" s="19" t="str">
        <x:v>成本状态</x:v>
      </x:c>
      <x:c r="AE5" s="19" t="str">
        <x:v>是否错配</x:v>
      </x:c>
      <x:c r="AF5" s="19" t="str">
        <x:v>广告成本</x:v>
      </x:c>
      <x:c r="AG5" s="19" t="str">
        <x:v>仓储</x:v>
      </x:c>
      <x:c r="AH5" s="19" t="str">
        <x:v>税费</x:v>
      </x:c>
      <x:c r="AI5" s="19" t="str">
        <x:v>退货损耗</x:v>
      </x:c>
      <x:c r="AJ5" s="19" t="str">
        <x:v>净利润</x:v>
      </x:c>
      <x:c r="AK5" s="19" t="str">
        <x:v>净利率</x:v>
      </x:c>
      <x:c r="AL5" s="20" t="str">
        <x:v>利润判断</x:v>
      </x:c>
      <x:c r="AM5" s="41" t="str">
        <x:v>辅助选品方法</x:v>
      </x:c>
      <x:c r="AN5" s="42" t="str">
        <x:v>初筛得分</x:v>
      </x:c>
      <x:c r="AO5" s="42" t="str">
        <x:v>评分覆盖率</x:v>
      </x:c>
      <x:c r="AP5" s="42" t="str">
        <x:v>初筛状态</x:v>
      </x:c>
      <x:c r="AQ5" s="42" t="str">
        <x:v>市场容量分</x:v>
      </x:c>
      <x:c r="AR5" s="42" t="str">
        <x:v>市场竞争分</x:v>
      </x:c>
      <x:c r="AS5" s="42" t="str">
        <x:v>关键词分</x:v>
      </x:c>
      <x:c r="AT5" s="42" t="str">
        <x:v>差异化分</x:v>
      </x:c>
      <x:c r="AU5" s="43" t="str">
        <x:v>初筛依据</x:v>
      </x:c>
    </x:row>
    <x:row r="6" ht="48" customHeight="1">
      <x:c r="A6" s="21" t="n">
        <x:v>1</x:v>
      </x:c>
      <x:c r="B6" s="21"/>
      <x:c r="C6" s="21"/>
      <x:c r="D6" s="21"/>
      <x:c r="E6" s="21"/>
      <x:c r="F6" s="29"/>
      <x:c r="G6" s="21"/>
      <x:c r="H6" s="30"/>
      <x:c r="I6" s="21"/>
      <x:c r="J6" s="21"/>
      <x:c r="K6" s="24"/>
      <x:c r="L6" s="21"/>
      <x:c r="M6" s="26"/>
      <x:c r="N6" s="29" t="str">
        <x:f>IF(AND(ISNUMBER(F6),F6&gt;0,ISNUMBER(M6),COUNT(Z6:AC6)=4),F6-SUM(M6,Z6:AC6),"")</x:f>
      </x:c>
      <x:c r="O6" s="28" t="str">
        <x:f>IF(AND(ISNUMBER(N6),ISNUMBER(F6),F6&gt;0),N6/F6,"")</x:f>
      </x:c>
      <x:c r="P6" s="21"/>
      <x:c r="Q6" s="21"/>
      <x:c r="R6" s="21"/>
      <x:c r="S6" s="21"/>
      <x:c r="T6" s="21"/>
      <x:c r="U6" s="21"/>
      <x:c r="V6" s="24"/>
      <x:c r="W6" s="21"/>
      <x:c r="X6" s="21"/>
      <x:c r="Y6" s="21"/>
      <x:c r="Z6" s="26"/>
      <x:c r="AA6" s="26"/>
      <x:c r="AB6" s="26"/>
      <x:c r="AC6" s="26"/>
      <x:c r="AD6" s="21" t="str">
        <x:f>IF(B6="","",IF(ISNUMBER(N6),"毛利成本齐","待补毛利成本"))</x:f>
      </x:c>
      <x:c r="AE6" s="21" t="str">
        <x:f>IF(B6="","",IF(OR(COUNT(F6:H6)&lt;3,NOT(ISNUMBER('类目判断'!$B$13))),"待验证",IF(AND(F6&lt;'类目判断'!$B$13,G6&lt;'类目判断'!$B$10,H6&lt;'类目判断'!$B$11),"是","否")))</x:f>
      </x:c>
      <x:c r="AF6" s="29" t="str">
        <x:f>IF(AND(B6&lt;&gt;"",ISNUMBER(F6),ISNUMBER('类目判断'!$B$16)),F6*'类目判断'!$B$16,"")</x:f>
      </x:c>
      <x:c r="AG6" s="26"/>
      <x:c r="AH6" s="26"/>
      <x:c r="AI6" s="26"/>
      <x:c r="AJ6" s="29" t="str">
        <x:f>IF(AND(ISNUMBER(N6),COUNT(AF6:AI6)=4),N6-SUM(AF6:AI6),"")</x:f>
      </x:c>
      <x:c r="AK6" s="28" t="str">
        <x:f>IF(AND(ISNUMBER(AJ6),ISNUMBER(F6),F6&gt;0),AJ6/F6,"")</x:f>
      </x:c>
      <x:c r="AL6" s="21" t="str">
        <x:f>IF(B6="","",IF(NOT(ISNUMBER(O6)),"待补毛利成本",IF(NOT(ISNUMBER('类目判断'!$B$18)),"待填广告参数",IF(ROUND(O6,10)&lt;ROUND('类目判断'!$B$18,10),"否决：毛利率不足",IF(NOT(ISNUMBER(AJ6)),"待补完整成本",IF(AJ6&lt;=0,"否决：净利润不为正","达标"))))))</x:f>
      </x:c>
      <x:c r="AM6" s="21"/>
      <x:c r="AN6" s="30" t="str">
        <x:f>IF(B6="","",IF(ABS(SUM('初筛规则'!$B$4:$E$4)-1)&gt;0.000001,"权重未归一",IF(COUNT(AQ6:AT6)&lt;4,"",SUMPRODUCT(AQ6:AT6,'初筛规则'!$B$4:$E$4)*20)))</x:f>
      </x:c>
      <x:c r="AO6" s="44" t="str">
        <x:f>IF(B6="","",IF(ABS(SUM('初筛规则'!$B$4:$E$4)-1)&gt;0.000001,"",SUM(IF(ISNUMBER(AQ6),'初筛规则'!$B$4,0),IF(ISNUMBER(AR6),'初筛规则'!$C$4,0),IF(ISNUMBER(AS6),'初筛规则'!$D$4,0),IF(ISNUMBER(AT6),'初筛规则'!$E$4,0))))</x:f>
      </x:c>
      <x:c r="AP6" s="21" t="str">
        <x:f>IF(B6="","",IF(LEFT(AL6,2)="否决","淘汰（利润否决）",IF(OR(S6="",AU6=""),"待补方法与依据",IF(NOT(ISNUMBER(AN6)),"待补初筛证据",IF(AN6&lt;'初筛规则'!$B$14,"初筛暂缓",IF(AN6&gt;='初筛规则'!$B$13,IF(AL6="达标","优先深挖","优先深挖（利润待验证）"),"保留观察"))))))</x:f>
      </x:c>
      <x:c r="AQ6" s="22"/>
      <x:c r="AR6" s="22"/>
      <x:c r="AS6" s="22"/>
      <x:c r="AT6" s="22"/>
      <x:c r="AU6" s="21"/>
    </x:row>
    <x:row r="7" ht="48" customHeight="1">
      <x:c r="A7" s="21" t="n">
        <x:v>2</x:v>
      </x:c>
      <x:c r="B7" s="21"/>
      <x:c r="C7" s="21"/>
      <x:c r="D7" s="21"/>
      <x:c r="E7" s="21"/>
      <x:c r="F7" s="29"/>
      <x:c r="G7" s="21"/>
      <x:c r="H7" s="30"/>
      <x:c r="I7" s="21"/>
      <x:c r="J7" s="21"/>
      <x:c r="K7" s="24"/>
      <x:c r="L7" s="21"/>
      <x:c r="M7" s="26"/>
      <x:c r="N7" s="29" t="str">
        <x:f>IF(AND(ISNUMBER(F7),F7&gt;0,ISNUMBER(M7),COUNT(Z7:AC7)=4),F7-SUM(M7,Z7:AC7),"")</x:f>
      </x:c>
      <x:c r="O7" s="28" t="str">
        <x:f>IF(AND(ISNUMBER(N7),ISNUMBER(F7),F7&gt;0),N7/F7,"")</x:f>
      </x:c>
      <x:c r="P7" s="21"/>
      <x:c r="Q7" s="21"/>
      <x:c r="R7" s="21"/>
      <x:c r="S7" s="21"/>
      <x:c r="T7" s="21"/>
      <x:c r="U7" s="21"/>
      <x:c r="V7" s="24"/>
      <x:c r="W7" s="21"/>
      <x:c r="X7" s="21"/>
      <x:c r="Y7" s="21"/>
      <x:c r="Z7" s="26"/>
      <x:c r="AA7" s="26"/>
      <x:c r="AB7" s="26"/>
      <x:c r="AC7" s="26"/>
      <x:c r="AD7" s="21" t="str">
        <x:f>IF(B7="","",IF(ISNUMBER(N7),"毛利成本齐","待补毛利成本"))</x:f>
      </x:c>
      <x:c r="AE7" s="21" t="str">
        <x:f>IF(B7="","",IF(OR(COUNT(F7:H7)&lt;3,NOT(ISNUMBER('类目判断'!$B$13))),"待验证",IF(AND(F7&lt;'类目判断'!$B$13,G7&lt;'类目判断'!$B$10,H7&lt;'类目判断'!$B$11),"是","否")))</x:f>
      </x:c>
      <x:c r="AF7" s="29" t="str">
        <x:f>IF(AND(B7&lt;&gt;"",ISNUMBER(F7),ISNUMBER('类目判断'!$B$16)),F7*'类目判断'!$B$16,"")</x:f>
      </x:c>
      <x:c r="AG7" s="26"/>
      <x:c r="AH7" s="26"/>
      <x:c r="AI7" s="26"/>
      <x:c r="AJ7" s="29" t="str">
        <x:f>IF(AND(ISNUMBER(N7),COUNT(AF7:AI7)=4),N7-SUM(AF7:AI7),"")</x:f>
      </x:c>
      <x:c r="AK7" s="28" t="str">
        <x:f>IF(AND(ISNUMBER(AJ7),ISNUMBER(F7),F7&gt;0),AJ7/F7,"")</x:f>
      </x:c>
      <x:c r="AL7" s="21" t="str">
        <x:f>IF(B7="","",IF(NOT(ISNUMBER(O7)),"待补毛利成本",IF(NOT(ISNUMBER('类目判断'!$B$18)),"待填广告参数",IF(ROUND(O7,10)&lt;ROUND('类目判断'!$B$18,10),"否决：毛利率不足",IF(NOT(ISNUMBER(AJ7)),"待补完整成本",IF(AJ7&lt;=0,"否决：净利润不为正","达标"))))))</x:f>
      </x:c>
      <x:c r="AM7" s="21"/>
      <x:c r="AN7" s="30" t="str">
        <x:f>IF(B7="","",IF(ABS(SUM('初筛规则'!$B$4:$E$4)-1)&gt;0.000001,"权重未归一",IF(COUNT(AQ7:AT7)&lt;4,"",SUMPRODUCT(AQ7:AT7,'初筛规则'!$B$4:$E$4)*20)))</x:f>
      </x:c>
      <x:c r="AO7" s="44" t="str">
        <x:f>IF(B7="","",IF(ABS(SUM('初筛规则'!$B$4:$E$4)-1)&gt;0.000001,"",SUM(IF(ISNUMBER(AQ7),'初筛规则'!$B$4,0),IF(ISNUMBER(AR7),'初筛规则'!$C$4,0),IF(ISNUMBER(AS7),'初筛规则'!$D$4,0),IF(ISNUMBER(AT7),'初筛规则'!$E$4,0))))</x:f>
      </x:c>
      <x:c r="AP7" s="21" t="str">
        <x:f>IF(B7="","",IF(LEFT(AL7,2)="否决","淘汰（利润否决）",IF(OR(S7="",AU7=""),"待补方法与依据",IF(NOT(ISNUMBER(AN7)),"待补初筛证据",IF(AN7&lt;'初筛规则'!$B$14,"初筛暂缓",IF(AN7&gt;='初筛规则'!$B$13,IF(AL7="达标","优先深挖","优先深挖（利润待验证）"),"保留观察"))))))</x:f>
      </x:c>
      <x:c r="AQ7" s="22"/>
      <x:c r="AR7" s="22"/>
      <x:c r="AS7" s="22"/>
      <x:c r="AT7" s="22"/>
      <x:c r="AU7" s="21"/>
    </x:row>
    <x:row r="8" ht="48" customHeight="1">
      <x:c r="A8" s="21" t="n">
        <x:v>3</x:v>
      </x:c>
      <x:c r="B8" s="21"/>
      <x:c r="C8" s="21"/>
      <x:c r="D8" s="21"/>
      <x:c r="E8" s="21"/>
      <x:c r="F8" s="29"/>
      <x:c r="G8" s="21"/>
      <x:c r="H8" s="30"/>
      <x:c r="I8" s="21"/>
      <x:c r="J8" s="21"/>
      <x:c r="K8" s="24"/>
      <x:c r="L8" s="21"/>
      <x:c r="M8" s="26"/>
      <x:c r="N8" s="29" t="str">
        <x:f>IF(AND(ISNUMBER(F8),F8&gt;0,ISNUMBER(M8),COUNT(Z8:AC8)=4),F8-SUM(M8,Z8:AC8),"")</x:f>
      </x:c>
      <x:c r="O8" s="28" t="str">
        <x:f>IF(AND(ISNUMBER(N8),ISNUMBER(F8),F8&gt;0),N8/F8,"")</x:f>
      </x:c>
      <x:c r="P8" s="21"/>
      <x:c r="Q8" s="21"/>
      <x:c r="R8" s="21"/>
      <x:c r="S8" s="21"/>
      <x:c r="T8" s="21"/>
      <x:c r="U8" s="21"/>
      <x:c r="V8" s="24"/>
      <x:c r="W8" s="21"/>
      <x:c r="X8" s="21"/>
      <x:c r="Y8" s="21"/>
      <x:c r="Z8" s="26"/>
      <x:c r="AA8" s="26"/>
      <x:c r="AB8" s="26"/>
      <x:c r="AC8" s="26"/>
      <x:c r="AD8" s="21" t="str">
        <x:f>IF(B8="","",IF(ISNUMBER(N8),"毛利成本齐","待补毛利成本"))</x:f>
      </x:c>
      <x:c r="AE8" s="21" t="str">
        <x:f>IF(B8="","",IF(OR(COUNT(F8:H8)&lt;3,NOT(ISNUMBER('类目判断'!$B$13))),"待验证",IF(AND(F8&lt;'类目判断'!$B$13,G8&lt;'类目判断'!$B$10,H8&lt;'类目判断'!$B$11),"是","否")))</x:f>
      </x:c>
      <x:c r="AF8" s="29" t="str">
        <x:f>IF(AND(B8&lt;&gt;"",ISNUMBER(F8),ISNUMBER('类目判断'!$B$16)),F8*'类目判断'!$B$16,"")</x:f>
      </x:c>
      <x:c r="AG8" s="26"/>
      <x:c r="AH8" s="26"/>
      <x:c r="AI8" s="26"/>
      <x:c r="AJ8" s="29" t="str">
        <x:f>IF(AND(ISNUMBER(N8),COUNT(AF8:AI8)=4),N8-SUM(AF8:AI8),"")</x:f>
      </x:c>
      <x:c r="AK8" s="28" t="str">
        <x:f>IF(AND(ISNUMBER(AJ8),ISNUMBER(F8),F8&gt;0),AJ8/F8,"")</x:f>
      </x:c>
      <x:c r="AL8" s="21" t="str">
        <x:f>IF(B8="","",IF(NOT(ISNUMBER(O8)),"待补毛利成本",IF(NOT(ISNUMBER('类目判断'!$B$18)),"待填广告参数",IF(ROUND(O8,10)&lt;ROUND('类目判断'!$B$18,10),"否决：毛利率不足",IF(NOT(ISNUMBER(AJ8)),"待补完整成本",IF(AJ8&lt;=0,"否决：净利润不为正","达标"))))))</x:f>
      </x:c>
      <x:c r="AM8" s="21"/>
      <x:c r="AN8" s="30" t="str">
        <x:f>IF(B8="","",IF(ABS(SUM('初筛规则'!$B$4:$E$4)-1)&gt;0.000001,"权重未归一",IF(COUNT(AQ8:AT8)&lt;4,"",SUMPRODUCT(AQ8:AT8,'初筛规则'!$B$4:$E$4)*20)))</x:f>
      </x:c>
      <x:c r="AO8" s="44" t="str">
        <x:f>IF(B8="","",IF(ABS(SUM('初筛规则'!$B$4:$E$4)-1)&gt;0.000001,"",SUM(IF(ISNUMBER(AQ8),'初筛规则'!$B$4,0),IF(ISNUMBER(AR8),'初筛规则'!$C$4,0),IF(ISNUMBER(AS8),'初筛规则'!$D$4,0),IF(ISNUMBER(AT8),'初筛规则'!$E$4,0))))</x:f>
      </x:c>
      <x:c r="AP8" s="21" t="str">
        <x:f>IF(B8="","",IF(LEFT(AL8,2)="否决","淘汰（利润否决）",IF(OR(S8="",AU8=""),"待补方法与依据",IF(NOT(ISNUMBER(AN8)),"待补初筛证据",IF(AN8&lt;'初筛规则'!$B$14,"初筛暂缓",IF(AN8&gt;='初筛规则'!$B$13,IF(AL8="达标","优先深挖","优先深挖（利润待验证）"),"保留观察"))))))</x:f>
      </x:c>
      <x:c r="AQ8" s="22"/>
      <x:c r="AR8" s="22"/>
      <x:c r="AS8" s="22"/>
      <x:c r="AT8" s="22"/>
      <x:c r="AU8" s="21"/>
    </x:row>
    <x:row r="9" ht="48" customHeight="1">
      <x:c r="A9" s="21" t="n">
        <x:v>4</x:v>
      </x:c>
      <x:c r="B9" s="21"/>
      <x:c r="C9" s="21"/>
      <x:c r="D9" s="21"/>
      <x:c r="E9" s="21"/>
      <x:c r="F9" s="29"/>
      <x:c r="G9" s="21"/>
      <x:c r="H9" s="30"/>
      <x:c r="I9" s="21"/>
      <x:c r="J9" s="21"/>
      <x:c r="K9" s="24"/>
      <x:c r="L9" s="21"/>
      <x:c r="M9" s="26"/>
      <x:c r="N9" s="29" t="str">
        <x:f>IF(AND(ISNUMBER(F9),F9&gt;0,ISNUMBER(M9),COUNT(Z9:AC9)=4),F9-SUM(M9,Z9:AC9),"")</x:f>
      </x:c>
      <x:c r="O9" s="28" t="str">
        <x:f>IF(AND(ISNUMBER(N9),ISNUMBER(F9),F9&gt;0),N9/F9,"")</x:f>
      </x:c>
      <x:c r="P9" s="21"/>
      <x:c r="Q9" s="21"/>
      <x:c r="R9" s="21"/>
      <x:c r="S9" s="21"/>
      <x:c r="T9" s="21"/>
      <x:c r="U9" s="21"/>
      <x:c r="V9" s="24"/>
      <x:c r="W9" s="21"/>
      <x:c r="X9" s="21"/>
      <x:c r="Y9" s="21"/>
      <x:c r="Z9" s="26"/>
      <x:c r="AA9" s="26"/>
      <x:c r="AB9" s="26"/>
      <x:c r="AC9" s="26"/>
      <x:c r="AD9" s="21" t="str">
        <x:f>IF(B9="","",IF(ISNUMBER(N9),"毛利成本齐","待补毛利成本"))</x:f>
      </x:c>
      <x:c r="AE9" s="21" t="str">
        <x:f>IF(B9="","",IF(OR(COUNT(F9:H9)&lt;3,NOT(ISNUMBER('类目判断'!$B$13))),"待验证",IF(AND(F9&lt;'类目判断'!$B$13,G9&lt;'类目判断'!$B$10,H9&lt;'类目判断'!$B$11),"是","否")))</x:f>
      </x:c>
      <x:c r="AF9" s="29" t="str">
        <x:f>IF(AND(B9&lt;&gt;"",ISNUMBER(F9),ISNUMBER('类目判断'!$B$16)),F9*'类目判断'!$B$16,"")</x:f>
      </x:c>
      <x:c r="AG9" s="26"/>
      <x:c r="AH9" s="26"/>
      <x:c r="AI9" s="26"/>
      <x:c r="AJ9" s="29" t="str">
        <x:f>IF(AND(ISNUMBER(N9),COUNT(AF9:AI9)=4),N9-SUM(AF9:AI9),"")</x:f>
      </x:c>
      <x:c r="AK9" s="28" t="str">
        <x:f>IF(AND(ISNUMBER(AJ9),ISNUMBER(F9),F9&gt;0),AJ9/F9,"")</x:f>
      </x:c>
      <x:c r="AL9" s="21" t="str">
        <x:f>IF(B9="","",IF(NOT(ISNUMBER(O9)),"待补毛利成本",IF(NOT(ISNUMBER('类目判断'!$B$18)),"待填广告参数",IF(ROUND(O9,10)&lt;ROUND('类目判断'!$B$18,10),"否决：毛利率不足",IF(NOT(ISNUMBER(AJ9)),"待补完整成本",IF(AJ9&lt;=0,"否决：净利润不为正","达标"))))))</x:f>
      </x:c>
      <x:c r="AM9" s="21"/>
      <x:c r="AN9" s="30" t="str">
        <x:f>IF(B9="","",IF(ABS(SUM('初筛规则'!$B$4:$E$4)-1)&gt;0.000001,"权重未归一",IF(COUNT(AQ9:AT9)&lt;4,"",SUMPRODUCT(AQ9:AT9,'初筛规则'!$B$4:$E$4)*20)))</x:f>
      </x:c>
      <x:c r="AO9" s="44" t="str">
        <x:f>IF(B9="","",IF(ABS(SUM('初筛规则'!$B$4:$E$4)-1)&gt;0.000001,"",SUM(IF(ISNUMBER(AQ9),'初筛规则'!$B$4,0),IF(ISNUMBER(AR9),'初筛规则'!$C$4,0),IF(ISNUMBER(AS9),'初筛规则'!$D$4,0),IF(ISNUMBER(AT9),'初筛规则'!$E$4,0))))</x:f>
      </x:c>
      <x:c r="AP9" s="21" t="str">
        <x:f>IF(B9="","",IF(LEFT(AL9,2)="否决","淘汰（利润否决）",IF(OR(S9="",AU9=""),"待补方法与依据",IF(NOT(ISNUMBER(AN9)),"待补初筛证据",IF(AN9&lt;'初筛规则'!$B$14,"初筛暂缓",IF(AN9&gt;='初筛规则'!$B$13,IF(AL9="达标","优先深挖","优先深挖（利润待验证）"),"保留观察"))))))</x:f>
      </x:c>
      <x:c r="AQ9" s="22"/>
      <x:c r="AR9" s="22"/>
      <x:c r="AS9" s="22"/>
      <x:c r="AT9" s="22"/>
      <x:c r="AU9" s="21"/>
    </x:row>
    <x:row r="10" ht="48" customHeight="1">
      <x:c r="A10" s="21" t="n">
        <x:v>5</x:v>
      </x:c>
      <x:c r="B10" s="21"/>
      <x:c r="C10" s="21"/>
      <x:c r="D10" s="21"/>
      <x:c r="E10" s="21"/>
      <x:c r="F10" s="29"/>
      <x:c r="G10" s="21"/>
      <x:c r="H10" s="30"/>
      <x:c r="I10" s="21"/>
      <x:c r="J10" s="21"/>
      <x:c r="K10" s="24"/>
      <x:c r="L10" s="21"/>
      <x:c r="M10" s="26"/>
      <x:c r="N10" s="29" t="str">
        <x:f>IF(AND(ISNUMBER(F10),F10&gt;0,ISNUMBER(M10),COUNT(Z10:AC10)=4),F10-SUM(M10,Z10:AC10),"")</x:f>
      </x:c>
      <x:c r="O10" s="28" t="str">
        <x:f>IF(AND(ISNUMBER(N10),ISNUMBER(F10),F10&gt;0),N10/F10,"")</x:f>
      </x:c>
      <x:c r="P10" s="21"/>
      <x:c r="Q10" s="21"/>
      <x:c r="R10" s="21"/>
      <x:c r="S10" s="21"/>
      <x:c r="T10" s="21"/>
      <x:c r="U10" s="21"/>
      <x:c r="V10" s="24"/>
      <x:c r="W10" s="21"/>
      <x:c r="X10" s="21"/>
      <x:c r="Y10" s="21"/>
      <x:c r="Z10" s="26"/>
      <x:c r="AA10" s="26"/>
      <x:c r="AB10" s="26"/>
      <x:c r="AC10" s="26"/>
      <x:c r="AD10" s="21" t="str">
        <x:f>IF(B10="","",IF(ISNUMBER(N10),"毛利成本齐","待补毛利成本"))</x:f>
      </x:c>
      <x:c r="AE10" s="21" t="str">
        <x:f>IF(B10="","",IF(OR(COUNT(F10:H10)&lt;3,NOT(ISNUMBER('类目判断'!$B$13))),"待验证",IF(AND(F10&lt;'类目判断'!$B$13,G10&lt;'类目判断'!$B$10,H10&lt;'类目判断'!$B$11),"是","否")))</x:f>
      </x:c>
      <x:c r="AF10" s="29" t="str">
        <x:f>IF(AND(B10&lt;&gt;"",ISNUMBER(F10),ISNUMBER('类目判断'!$B$16)),F10*'类目判断'!$B$16,"")</x:f>
      </x:c>
      <x:c r="AG10" s="26"/>
      <x:c r="AH10" s="26"/>
      <x:c r="AI10" s="26"/>
      <x:c r="AJ10" s="29" t="str">
        <x:f>IF(AND(ISNUMBER(N10),COUNT(AF10:AI10)=4),N10-SUM(AF10:AI10),"")</x:f>
      </x:c>
      <x:c r="AK10" s="28" t="str">
        <x:f>IF(AND(ISNUMBER(AJ10),ISNUMBER(F10),F10&gt;0),AJ10/F10,"")</x:f>
      </x:c>
      <x:c r="AL10" s="21" t="str">
        <x:f>IF(B10="","",IF(NOT(ISNUMBER(O10)),"待补毛利成本",IF(NOT(ISNUMBER('类目判断'!$B$18)),"待填广告参数",IF(ROUND(O10,10)&lt;ROUND('类目判断'!$B$18,10),"否决：毛利率不足",IF(NOT(ISNUMBER(AJ10)),"待补完整成本",IF(AJ10&lt;=0,"否决：净利润不为正","达标"))))))</x:f>
      </x:c>
      <x:c r="AM10" s="21"/>
      <x:c r="AN10" s="30" t="str">
        <x:f>IF(B10="","",IF(ABS(SUM('初筛规则'!$B$4:$E$4)-1)&gt;0.000001,"权重未归一",IF(COUNT(AQ10:AT10)&lt;4,"",SUMPRODUCT(AQ10:AT10,'初筛规则'!$B$4:$E$4)*20)))</x:f>
      </x:c>
      <x:c r="AO10" s="44" t="str">
        <x:f>IF(B10="","",IF(ABS(SUM('初筛规则'!$B$4:$E$4)-1)&gt;0.000001,"",SUM(IF(ISNUMBER(AQ10),'初筛规则'!$B$4,0),IF(ISNUMBER(AR10),'初筛规则'!$C$4,0),IF(ISNUMBER(AS10),'初筛规则'!$D$4,0),IF(ISNUMBER(AT10),'初筛规则'!$E$4,0))))</x:f>
      </x:c>
      <x:c r="AP10" s="21" t="str">
        <x:f>IF(B10="","",IF(LEFT(AL10,2)="否决","淘汰（利润否决）",IF(OR(S10="",AU10=""),"待补方法与依据",IF(NOT(ISNUMBER(AN10)),"待补初筛证据",IF(AN10&lt;'初筛规则'!$B$14,"初筛暂缓",IF(AN10&gt;='初筛规则'!$B$13,IF(AL10="达标","优先深挖","优先深挖（利润待验证）"),"保留观察"))))))</x:f>
      </x:c>
      <x:c r="AQ10" s="22"/>
      <x:c r="AR10" s="22"/>
      <x:c r="AS10" s="22"/>
      <x:c r="AT10" s="22"/>
      <x:c r="AU10" s="21"/>
    </x:row>
    <x:row r="11" ht="48" customHeight="1">
      <x:c r="A11" s="21" t="n">
        <x:v>6</x:v>
      </x:c>
      <x:c r="B11" s="21"/>
      <x:c r="C11" s="21"/>
      <x:c r="D11" s="21"/>
      <x:c r="E11" s="21"/>
      <x:c r="F11" s="29"/>
      <x:c r="G11" s="21"/>
      <x:c r="H11" s="30"/>
      <x:c r="I11" s="21"/>
      <x:c r="J11" s="21"/>
      <x:c r="K11" s="24"/>
      <x:c r="L11" s="21"/>
      <x:c r="M11" s="26"/>
      <x:c r="N11" s="29" t="str">
        <x:f>IF(AND(ISNUMBER(F11),F11&gt;0,ISNUMBER(M11),COUNT(Z11:AC11)=4),F11-SUM(M11,Z11:AC11),"")</x:f>
      </x:c>
      <x:c r="O11" s="28" t="str">
        <x:f>IF(AND(ISNUMBER(N11),ISNUMBER(F11),F11&gt;0),N11/F11,"")</x:f>
      </x:c>
      <x:c r="P11" s="21"/>
      <x:c r="Q11" s="21"/>
      <x:c r="R11" s="21"/>
      <x:c r="S11" s="21"/>
      <x:c r="T11" s="21"/>
      <x:c r="U11" s="21"/>
      <x:c r="V11" s="24"/>
      <x:c r="W11" s="21"/>
      <x:c r="X11" s="21"/>
      <x:c r="Y11" s="21"/>
      <x:c r="Z11" s="26"/>
      <x:c r="AA11" s="26"/>
      <x:c r="AB11" s="26"/>
      <x:c r="AC11" s="26"/>
      <x:c r="AD11" s="21" t="str">
        <x:f>IF(B11="","",IF(ISNUMBER(N11),"毛利成本齐","待补毛利成本"))</x:f>
      </x:c>
      <x:c r="AE11" s="21" t="str">
        <x:f>IF(B11="","",IF(OR(COUNT(F11:H11)&lt;3,NOT(ISNUMBER('类目判断'!$B$13))),"待验证",IF(AND(F11&lt;'类目判断'!$B$13,G11&lt;'类目判断'!$B$10,H11&lt;'类目判断'!$B$11),"是","否")))</x:f>
      </x:c>
      <x:c r="AF11" s="29" t="str">
        <x:f>IF(AND(B11&lt;&gt;"",ISNUMBER(F11),ISNUMBER('类目判断'!$B$16)),F11*'类目判断'!$B$16,"")</x:f>
      </x:c>
      <x:c r="AG11" s="26"/>
      <x:c r="AH11" s="26"/>
      <x:c r="AI11" s="26"/>
      <x:c r="AJ11" s="29" t="str">
        <x:f>IF(AND(ISNUMBER(N11),COUNT(AF11:AI11)=4),N11-SUM(AF11:AI11),"")</x:f>
      </x:c>
      <x:c r="AK11" s="28" t="str">
        <x:f>IF(AND(ISNUMBER(AJ11),ISNUMBER(F11),F11&gt;0),AJ11/F11,"")</x:f>
      </x:c>
      <x:c r="AL11" s="21" t="str">
        <x:f>IF(B11="","",IF(NOT(ISNUMBER(O11)),"待补毛利成本",IF(NOT(ISNUMBER('类目判断'!$B$18)),"待填广告参数",IF(ROUND(O11,10)&lt;ROUND('类目判断'!$B$18,10),"否决：毛利率不足",IF(NOT(ISNUMBER(AJ11)),"待补完整成本",IF(AJ11&lt;=0,"否决：净利润不为正","达标"))))))</x:f>
      </x:c>
      <x:c r="AM11" s="21"/>
      <x:c r="AN11" s="30" t="str">
        <x:f>IF(B11="","",IF(ABS(SUM('初筛规则'!$B$4:$E$4)-1)&gt;0.000001,"权重未归一",IF(COUNT(AQ11:AT11)&lt;4,"",SUMPRODUCT(AQ11:AT11,'初筛规则'!$B$4:$E$4)*20)))</x:f>
      </x:c>
      <x:c r="AO11" s="44" t="str">
        <x:f>IF(B11="","",IF(ABS(SUM('初筛规则'!$B$4:$E$4)-1)&gt;0.000001,"",SUM(IF(ISNUMBER(AQ11),'初筛规则'!$B$4,0),IF(ISNUMBER(AR11),'初筛规则'!$C$4,0),IF(ISNUMBER(AS11),'初筛规则'!$D$4,0),IF(ISNUMBER(AT11),'初筛规则'!$E$4,0))))</x:f>
      </x:c>
      <x:c r="AP11" s="21" t="str">
        <x:f>IF(B11="","",IF(LEFT(AL11,2)="否决","淘汰（利润否决）",IF(OR(S11="",AU11=""),"待补方法与依据",IF(NOT(ISNUMBER(AN11)),"待补初筛证据",IF(AN11&lt;'初筛规则'!$B$14,"初筛暂缓",IF(AN11&gt;='初筛规则'!$B$13,IF(AL11="达标","优先深挖","优先深挖（利润待验证）"),"保留观察"))))))</x:f>
      </x:c>
      <x:c r="AQ11" s="22"/>
      <x:c r="AR11" s="22"/>
      <x:c r="AS11" s="22"/>
      <x:c r="AT11" s="22"/>
      <x:c r="AU11" s="21"/>
    </x:row>
    <x:row r="12" ht="48" customHeight="1">
      <x:c r="A12" s="21" t="n">
        <x:v>7</x:v>
      </x:c>
      <x:c r="B12" s="21"/>
      <x:c r="C12" s="21"/>
      <x:c r="D12" s="21"/>
      <x:c r="E12" s="21"/>
      <x:c r="F12" s="29"/>
      <x:c r="G12" s="21"/>
      <x:c r="H12" s="30"/>
      <x:c r="I12" s="21"/>
      <x:c r="J12" s="21"/>
      <x:c r="K12" s="24"/>
      <x:c r="L12" s="21"/>
      <x:c r="M12" s="26"/>
      <x:c r="N12" s="29" t="str">
        <x:f>IF(AND(ISNUMBER(F12),F12&gt;0,ISNUMBER(M12),COUNT(Z12:AC12)=4),F12-SUM(M12,Z12:AC12),"")</x:f>
      </x:c>
      <x:c r="O12" s="28" t="str">
        <x:f>IF(AND(ISNUMBER(N12),ISNUMBER(F12),F12&gt;0),N12/F12,"")</x:f>
      </x:c>
      <x:c r="P12" s="21"/>
      <x:c r="Q12" s="21"/>
      <x:c r="R12" s="21"/>
      <x:c r="S12" s="21"/>
      <x:c r="T12" s="21"/>
      <x:c r="U12" s="21"/>
      <x:c r="V12" s="24"/>
      <x:c r="W12" s="21"/>
      <x:c r="X12" s="21"/>
      <x:c r="Y12" s="21"/>
      <x:c r="Z12" s="26"/>
      <x:c r="AA12" s="26"/>
      <x:c r="AB12" s="26"/>
      <x:c r="AC12" s="26"/>
      <x:c r="AD12" s="21" t="str">
        <x:f>IF(B12="","",IF(ISNUMBER(N12),"毛利成本齐","待补毛利成本"))</x:f>
      </x:c>
      <x:c r="AE12" s="21" t="str">
        <x:f>IF(B12="","",IF(OR(COUNT(F12:H12)&lt;3,NOT(ISNUMBER('类目判断'!$B$13))),"待验证",IF(AND(F12&lt;'类目判断'!$B$13,G12&lt;'类目判断'!$B$10,H12&lt;'类目判断'!$B$11),"是","否")))</x:f>
      </x:c>
      <x:c r="AF12" s="29" t="str">
        <x:f>IF(AND(B12&lt;&gt;"",ISNUMBER(F12),ISNUMBER('类目判断'!$B$16)),F12*'类目判断'!$B$16,"")</x:f>
      </x:c>
      <x:c r="AG12" s="26"/>
      <x:c r="AH12" s="26"/>
      <x:c r="AI12" s="26"/>
      <x:c r="AJ12" s="29" t="str">
        <x:f>IF(AND(ISNUMBER(N12),COUNT(AF12:AI12)=4),N12-SUM(AF12:AI12),"")</x:f>
      </x:c>
      <x:c r="AK12" s="28" t="str">
        <x:f>IF(AND(ISNUMBER(AJ12),ISNUMBER(F12),F12&gt;0),AJ12/F12,"")</x:f>
      </x:c>
      <x:c r="AL12" s="21" t="str">
        <x:f>IF(B12="","",IF(NOT(ISNUMBER(O12)),"待补毛利成本",IF(NOT(ISNUMBER('类目判断'!$B$18)),"待填广告参数",IF(ROUND(O12,10)&lt;ROUND('类目判断'!$B$18,10),"否决：毛利率不足",IF(NOT(ISNUMBER(AJ12)),"待补完整成本",IF(AJ12&lt;=0,"否决：净利润不为正","达标"))))))</x:f>
      </x:c>
      <x:c r="AM12" s="21"/>
      <x:c r="AN12" s="30" t="str">
        <x:f>IF(B12="","",IF(ABS(SUM('初筛规则'!$B$4:$E$4)-1)&gt;0.000001,"权重未归一",IF(COUNT(AQ12:AT12)&lt;4,"",SUMPRODUCT(AQ12:AT12,'初筛规则'!$B$4:$E$4)*20)))</x:f>
      </x:c>
      <x:c r="AO12" s="44" t="str">
        <x:f>IF(B12="","",IF(ABS(SUM('初筛规则'!$B$4:$E$4)-1)&gt;0.000001,"",SUM(IF(ISNUMBER(AQ12),'初筛规则'!$B$4,0),IF(ISNUMBER(AR12),'初筛规则'!$C$4,0),IF(ISNUMBER(AS12),'初筛规则'!$D$4,0),IF(ISNUMBER(AT12),'初筛规则'!$E$4,0))))</x:f>
      </x:c>
      <x:c r="AP12" s="21" t="str">
        <x:f>IF(B12="","",IF(LEFT(AL12,2)="否决","淘汰（利润否决）",IF(OR(S12="",AU12=""),"待补方法与依据",IF(NOT(ISNUMBER(AN12)),"待补初筛证据",IF(AN12&lt;'初筛规则'!$B$14,"初筛暂缓",IF(AN12&gt;='初筛规则'!$B$13,IF(AL12="达标","优先深挖","优先深挖（利润待验证）"),"保留观察"))))))</x:f>
      </x:c>
      <x:c r="AQ12" s="22"/>
      <x:c r="AR12" s="22"/>
      <x:c r="AS12" s="22"/>
      <x:c r="AT12" s="22"/>
      <x:c r="AU12" s="21"/>
    </x:row>
    <x:row r="13" ht="48" customHeight="1">
      <x:c r="A13" s="21" t="n">
        <x:v>8</x:v>
      </x:c>
      <x:c r="B13" s="21"/>
      <x:c r="C13" s="21"/>
      <x:c r="D13" s="21"/>
      <x:c r="E13" s="21"/>
      <x:c r="F13" s="29"/>
      <x:c r="G13" s="21"/>
      <x:c r="H13" s="30"/>
      <x:c r="I13" s="21"/>
      <x:c r="J13" s="21"/>
      <x:c r="K13" s="24"/>
      <x:c r="L13" s="21"/>
      <x:c r="M13" s="26"/>
      <x:c r="N13" s="29" t="str">
        <x:f>IF(AND(ISNUMBER(F13),F13&gt;0,ISNUMBER(M13),COUNT(Z13:AC13)=4),F13-SUM(M13,Z13:AC13),"")</x:f>
      </x:c>
      <x:c r="O13" s="28" t="str">
        <x:f>IF(AND(ISNUMBER(N13),ISNUMBER(F13),F13&gt;0),N13/F13,"")</x:f>
      </x:c>
      <x:c r="P13" s="21"/>
      <x:c r="Q13" s="21"/>
      <x:c r="R13" s="21"/>
      <x:c r="S13" s="21"/>
      <x:c r="T13" s="21"/>
      <x:c r="U13" s="21"/>
      <x:c r="V13" s="24"/>
      <x:c r="W13" s="21"/>
      <x:c r="X13" s="21"/>
      <x:c r="Y13" s="21"/>
      <x:c r="Z13" s="26"/>
      <x:c r="AA13" s="26"/>
      <x:c r="AB13" s="26"/>
      <x:c r="AC13" s="26"/>
      <x:c r="AD13" s="21" t="str">
        <x:f>IF(B13="","",IF(ISNUMBER(N13),"毛利成本齐","待补毛利成本"))</x:f>
      </x:c>
      <x:c r="AE13" s="21" t="str">
        <x:f>IF(B13="","",IF(OR(COUNT(F13:H13)&lt;3,NOT(ISNUMBER('类目判断'!$B$13))),"待验证",IF(AND(F13&lt;'类目判断'!$B$13,G13&lt;'类目判断'!$B$10,H13&lt;'类目判断'!$B$11),"是","否")))</x:f>
      </x:c>
      <x:c r="AF13" s="29" t="str">
        <x:f>IF(AND(B13&lt;&gt;"",ISNUMBER(F13),ISNUMBER('类目判断'!$B$16)),F13*'类目判断'!$B$16,"")</x:f>
      </x:c>
      <x:c r="AG13" s="26"/>
      <x:c r="AH13" s="26"/>
      <x:c r="AI13" s="26"/>
      <x:c r="AJ13" s="29" t="str">
        <x:f>IF(AND(ISNUMBER(N13),COUNT(AF13:AI13)=4),N13-SUM(AF13:AI13),"")</x:f>
      </x:c>
      <x:c r="AK13" s="28" t="str">
        <x:f>IF(AND(ISNUMBER(AJ13),ISNUMBER(F13),F13&gt;0),AJ13/F13,"")</x:f>
      </x:c>
      <x:c r="AL13" s="21" t="str">
        <x:f>IF(B13="","",IF(NOT(ISNUMBER(O13)),"待补毛利成本",IF(NOT(ISNUMBER('类目判断'!$B$18)),"待填广告参数",IF(ROUND(O13,10)&lt;ROUND('类目判断'!$B$18,10),"否决：毛利率不足",IF(NOT(ISNUMBER(AJ13)),"待补完整成本",IF(AJ13&lt;=0,"否决：净利润不为正","达标"))))))</x:f>
      </x:c>
      <x:c r="AM13" s="21"/>
      <x:c r="AN13" s="30" t="str">
        <x:f>IF(B13="","",IF(ABS(SUM('初筛规则'!$B$4:$E$4)-1)&gt;0.000001,"权重未归一",IF(COUNT(AQ13:AT13)&lt;4,"",SUMPRODUCT(AQ13:AT13,'初筛规则'!$B$4:$E$4)*20)))</x:f>
      </x:c>
      <x:c r="AO13" s="44" t="str">
        <x:f>IF(B13="","",IF(ABS(SUM('初筛规则'!$B$4:$E$4)-1)&gt;0.000001,"",SUM(IF(ISNUMBER(AQ13),'初筛规则'!$B$4,0),IF(ISNUMBER(AR13),'初筛规则'!$C$4,0),IF(ISNUMBER(AS13),'初筛规则'!$D$4,0),IF(ISNUMBER(AT13),'初筛规则'!$E$4,0))))</x:f>
      </x:c>
      <x:c r="AP13" s="21" t="str">
        <x:f>IF(B13="","",IF(LEFT(AL13,2)="否决","淘汰（利润否决）",IF(OR(S13="",AU13=""),"待补方法与依据",IF(NOT(ISNUMBER(AN13)),"待补初筛证据",IF(AN13&lt;'初筛规则'!$B$14,"初筛暂缓",IF(AN13&gt;='初筛规则'!$B$13,IF(AL13="达标","优先深挖","优先深挖（利润待验证）"),"保留观察"))))))</x:f>
      </x:c>
      <x:c r="AQ13" s="22"/>
      <x:c r="AR13" s="22"/>
      <x:c r="AS13" s="22"/>
      <x:c r="AT13" s="22"/>
      <x:c r="AU13" s="21"/>
    </x:row>
    <x:row r="14" ht="48" customHeight="1">
      <x:c r="A14" s="21" t="n">
        <x:v>9</x:v>
      </x:c>
      <x:c r="B14" s="21"/>
      <x:c r="C14" s="21"/>
      <x:c r="D14" s="21"/>
      <x:c r="E14" s="21"/>
      <x:c r="F14" s="29"/>
      <x:c r="G14" s="21"/>
      <x:c r="H14" s="30"/>
      <x:c r="I14" s="21"/>
      <x:c r="J14" s="21"/>
      <x:c r="K14" s="24"/>
      <x:c r="L14" s="21"/>
      <x:c r="M14" s="26"/>
      <x:c r="N14" s="29" t="str">
        <x:f>IF(AND(ISNUMBER(F14),F14&gt;0,ISNUMBER(M14),COUNT(Z14:AC14)=4),F14-SUM(M14,Z14:AC14),"")</x:f>
      </x:c>
      <x:c r="O14" s="28" t="str">
        <x:f>IF(AND(ISNUMBER(N14),ISNUMBER(F14),F14&gt;0),N14/F14,"")</x:f>
      </x:c>
      <x:c r="P14" s="21"/>
      <x:c r="Q14" s="21"/>
      <x:c r="R14" s="21"/>
      <x:c r="S14" s="21"/>
      <x:c r="T14" s="21"/>
      <x:c r="U14" s="21"/>
      <x:c r="V14" s="24"/>
      <x:c r="W14" s="21"/>
      <x:c r="X14" s="21"/>
      <x:c r="Y14" s="21"/>
      <x:c r="Z14" s="26"/>
      <x:c r="AA14" s="26"/>
      <x:c r="AB14" s="26"/>
      <x:c r="AC14" s="26"/>
      <x:c r="AD14" s="21" t="str">
        <x:f>IF(B14="","",IF(ISNUMBER(N14),"毛利成本齐","待补毛利成本"))</x:f>
      </x:c>
      <x:c r="AE14" s="21" t="str">
        <x:f>IF(B14="","",IF(OR(COUNT(F14:H14)&lt;3,NOT(ISNUMBER('类目判断'!$B$13))),"待验证",IF(AND(F14&lt;'类目判断'!$B$13,G14&lt;'类目判断'!$B$10,H14&lt;'类目判断'!$B$11),"是","否")))</x:f>
      </x:c>
      <x:c r="AF14" s="29" t="str">
        <x:f>IF(AND(B14&lt;&gt;"",ISNUMBER(F14),ISNUMBER('类目判断'!$B$16)),F14*'类目判断'!$B$16,"")</x:f>
      </x:c>
      <x:c r="AG14" s="26"/>
      <x:c r="AH14" s="26"/>
      <x:c r="AI14" s="26"/>
      <x:c r="AJ14" s="29" t="str">
        <x:f>IF(AND(ISNUMBER(N14),COUNT(AF14:AI14)=4),N14-SUM(AF14:AI14),"")</x:f>
      </x:c>
      <x:c r="AK14" s="28" t="str">
        <x:f>IF(AND(ISNUMBER(AJ14),ISNUMBER(F14),F14&gt;0),AJ14/F14,"")</x:f>
      </x:c>
      <x:c r="AL14" s="21" t="str">
        <x:f>IF(B14="","",IF(NOT(ISNUMBER(O14)),"待补毛利成本",IF(NOT(ISNUMBER('类目判断'!$B$18)),"待填广告参数",IF(ROUND(O14,10)&lt;ROUND('类目判断'!$B$18,10),"否决：毛利率不足",IF(NOT(ISNUMBER(AJ14)),"待补完整成本",IF(AJ14&lt;=0,"否决：净利润不为正","达标"))))))</x:f>
      </x:c>
      <x:c r="AM14" s="21"/>
      <x:c r="AN14" s="30" t="str">
        <x:f>IF(B14="","",IF(ABS(SUM('初筛规则'!$B$4:$E$4)-1)&gt;0.000001,"权重未归一",IF(COUNT(AQ14:AT14)&lt;4,"",SUMPRODUCT(AQ14:AT14,'初筛规则'!$B$4:$E$4)*20)))</x:f>
      </x:c>
      <x:c r="AO14" s="44" t="str">
        <x:f>IF(B14="","",IF(ABS(SUM('初筛规则'!$B$4:$E$4)-1)&gt;0.000001,"",SUM(IF(ISNUMBER(AQ14),'初筛规则'!$B$4,0),IF(ISNUMBER(AR14),'初筛规则'!$C$4,0),IF(ISNUMBER(AS14),'初筛规则'!$D$4,0),IF(ISNUMBER(AT14),'初筛规则'!$E$4,0))))</x:f>
      </x:c>
      <x:c r="AP14" s="21" t="str">
        <x:f>IF(B14="","",IF(LEFT(AL14,2)="否决","淘汰（利润否决）",IF(OR(S14="",AU14=""),"待补方法与依据",IF(NOT(ISNUMBER(AN14)),"待补初筛证据",IF(AN14&lt;'初筛规则'!$B$14,"初筛暂缓",IF(AN14&gt;='初筛规则'!$B$13,IF(AL14="达标","优先深挖","优先深挖（利润待验证）"),"保留观察"))))))</x:f>
      </x:c>
      <x:c r="AQ14" s="22"/>
      <x:c r="AR14" s="22"/>
      <x:c r="AS14" s="22"/>
      <x:c r="AT14" s="22"/>
      <x:c r="AU14" s="21"/>
    </x:row>
    <x:row r="15" ht="48" customHeight="1">
      <x:c r="A15" s="21" t="n">
        <x:v>10</x:v>
      </x:c>
      <x:c r="B15" s="21"/>
      <x:c r="C15" s="21"/>
      <x:c r="D15" s="21"/>
      <x:c r="E15" s="21"/>
      <x:c r="F15" s="29"/>
      <x:c r="G15" s="21"/>
      <x:c r="H15" s="30"/>
      <x:c r="I15" s="21"/>
      <x:c r="J15" s="21"/>
      <x:c r="K15" s="24"/>
      <x:c r="L15" s="21"/>
      <x:c r="M15" s="26"/>
      <x:c r="N15" s="29" t="str">
        <x:f>IF(AND(ISNUMBER(F15),F15&gt;0,ISNUMBER(M15),COUNT(Z15:AC15)=4),F15-SUM(M15,Z15:AC15),"")</x:f>
      </x:c>
      <x:c r="O15" s="28" t="str">
        <x:f>IF(AND(ISNUMBER(N15),ISNUMBER(F15),F15&gt;0),N15/F15,"")</x:f>
      </x:c>
      <x:c r="P15" s="21"/>
      <x:c r="Q15" s="21"/>
      <x:c r="R15" s="21"/>
      <x:c r="S15" s="21"/>
      <x:c r="T15" s="21"/>
      <x:c r="U15" s="21"/>
      <x:c r="V15" s="24"/>
      <x:c r="W15" s="21"/>
      <x:c r="X15" s="21"/>
      <x:c r="Y15" s="21"/>
      <x:c r="Z15" s="26"/>
      <x:c r="AA15" s="26"/>
      <x:c r="AB15" s="26"/>
      <x:c r="AC15" s="26"/>
      <x:c r="AD15" s="21" t="str">
        <x:f>IF(B15="","",IF(ISNUMBER(N15),"毛利成本齐","待补毛利成本"))</x:f>
      </x:c>
      <x:c r="AE15" s="21" t="str">
        <x:f>IF(B15="","",IF(OR(COUNT(F15:H15)&lt;3,NOT(ISNUMBER('类目判断'!$B$13))),"待验证",IF(AND(F15&lt;'类目判断'!$B$13,G15&lt;'类目判断'!$B$10,H15&lt;'类目判断'!$B$11),"是","否")))</x:f>
      </x:c>
      <x:c r="AF15" s="29" t="str">
        <x:f>IF(AND(B15&lt;&gt;"",ISNUMBER(F15),ISNUMBER('类目判断'!$B$16)),F15*'类目判断'!$B$16,"")</x:f>
      </x:c>
      <x:c r="AG15" s="26"/>
      <x:c r="AH15" s="26"/>
      <x:c r="AI15" s="26"/>
      <x:c r="AJ15" s="29" t="str">
        <x:f>IF(AND(ISNUMBER(N15),COUNT(AF15:AI15)=4),N15-SUM(AF15:AI15),"")</x:f>
      </x:c>
      <x:c r="AK15" s="28" t="str">
        <x:f>IF(AND(ISNUMBER(AJ15),ISNUMBER(F15),F15&gt;0),AJ15/F15,"")</x:f>
      </x:c>
      <x:c r="AL15" s="21" t="str">
        <x:f>IF(B15="","",IF(NOT(ISNUMBER(O15)),"待补毛利成本",IF(NOT(ISNUMBER('类目判断'!$B$18)),"待填广告参数",IF(ROUND(O15,10)&lt;ROUND('类目判断'!$B$18,10),"否决：毛利率不足",IF(NOT(ISNUMBER(AJ15)),"待补完整成本",IF(AJ15&lt;=0,"否决：净利润不为正","达标"))))))</x:f>
      </x:c>
      <x:c r="AM15" s="21"/>
      <x:c r="AN15" s="30" t="str">
        <x:f>IF(B15="","",IF(ABS(SUM('初筛规则'!$B$4:$E$4)-1)&gt;0.000001,"权重未归一",IF(COUNT(AQ15:AT15)&lt;4,"",SUMPRODUCT(AQ15:AT15,'初筛规则'!$B$4:$E$4)*20)))</x:f>
      </x:c>
      <x:c r="AO15" s="44" t="str">
        <x:f>IF(B15="","",IF(ABS(SUM('初筛规则'!$B$4:$E$4)-1)&gt;0.000001,"",SUM(IF(ISNUMBER(AQ15),'初筛规则'!$B$4,0),IF(ISNUMBER(AR15),'初筛规则'!$C$4,0),IF(ISNUMBER(AS15),'初筛规则'!$D$4,0),IF(ISNUMBER(AT15),'初筛规则'!$E$4,0))))</x:f>
      </x:c>
      <x:c r="AP15" s="21" t="str">
        <x:f>IF(B15="","",IF(LEFT(AL15,2)="否决","淘汰（利润否决）",IF(OR(S15="",AU15=""),"待补方法与依据",IF(NOT(ISNUMBER(AN15)),"待补初筛证据",IF(AN15&lt;'初筛规则'!$B$14,"初筛暂缓",IF(AN15&gt;='初筛规则'!$B$13,IF(AL15="达标","优先深挖","优先深挖（利润待验证）"),"保留观察"))))))</x:f>
      </x:c>
      <x:c r="AQ15" s="22"/>
      <x:c r="AR15" s="22"/>
      <x:c r="AS15" s="22"/>
      <x:c r="AT15" s="22"/>
      <x:c r="AU15" s="21"/>
    </x:row>
    <x:row r="16" ht="48" customHeight="1">
      <x:c r="A16" s="21" t="n">
        <x:v>11</x:v>
      </x:c>
      <x:c r="B16" s="21"/>
      <x:c r="C16" s="21"/>
      <x:c r="D16" s="21"/>
      <x:c r="E16" s="21"/>
      <x:c r="F16" s="29"/>
      <x:c r="G16" s="21"/>
      <x:c r="H16" s="30"/>
      <x:c r="I16" s="21"/>
      <x:c r="J16" s="21"/>
      <x:c r="K16" s="24"/>
      <x:c r="L16" s="21"/>
      <x:c r="M16" s="26"/>
      <x:c r="N16" s="29" t="str">
        <x:f>IF(AND(ISNUMBER(F16),F16&gt;0,ISNUMBER(M16),COUNT(Z16:AC16)=4),F16-SUM(M16,Z16:AC16),"")</x:f>
      </x:c>
      <x:c r="O16" s="28" t="str">
        <x:f>IF(AND(ISNUMBER(N16),ISNUMBER(F16),F16&gt;0),N16/F16,"")</x:f>
      </x:c>
      <x:c r="P16" s="21"/>
      <x:c r="Q16" s="21"/>
      <x:c r="R16" s="21"/>
      <x:c r="S16" s="21"/>
      <x:c r="T16" s="21"/>
      <x:c r="U16" s="21"/>
      <x:c r="V16" s="24"/>
      <x:c r="W16" s="21"/>
      <x:c r="X16" s="21"/>
      <x:c r="Y16" s="21"/>
      <x:c r="Z16" s="26"/>
      <x:c r="AA16" s="26"/>
      <x:c r="AB16" s="26"/>
      <x:c r="AC16" s="26"/>
      <x:c r="AD16" s="21" t="str">
        <x:f>IF(B16="","",IF(ISNUMBER(N16),"毛利成本齐","待补毛利成本"))</x:f>
      </x:c>
      <x:c r="AE16" s="21" t="str">
        <x:f>IF(B16="","",IF(OR(COUNT(F16:H16)&lt;3,NOT(ISNUMBER('类目判断'!$B$13))),"待验证",IF(AND(F16&lt;'类目判断'!$B$13,G16&lt;'类目判断'!$B$10,H16&lt;'类目判断'!$B$11),"是","否")))</x:f>
      </x:c>
      <x:c r="AF16" s="29" t="str">
        <x:f>IF(AND(B16&lt;&gt;"",ISNUMBER(F16),ISNUMBER('类目判断'!$B$16)),F16*'类目判断'!$B$16,"")</x:f>
      </x:c>
      <x:c r="AG16" s="26"/>
      <x:c r="AH16" s="26"/>
      <x:c r="AI16" s="26"/>
      <x:c r="AJ16" s="29" t="str">
        <x:f>IF(AND(ISNUMBER(N16),COUNT(AF16:AI16)=4),N16-SUM(AF16:AI16),"")</x:f>
      </x:c>
      <x:c r="AK16" s="28" t="str">
        <x:f>IF(AND(ISNUMBER(AJ16),ISNUMBER(F16),F16&gt;0),AJ16/F16,"")</x:f>
      </x:c>
      <x:c r="AL16" s="21" t="str">
        <x:f>IF(B16="","",IF(NOT(ISNUMBER(O16)),"待补毛利成本",IF(NOT(ISNUMBER('类目判断'!$B$18)),"待填广告参数",IF(ROUND(O16,10)&lt;ROUND('类目判断'!$B$18,10),"否决：毛利率不足",IF(NOT(ISNUMBER(AJ16)),"待补完整成本",IF(AJ16&lt;=0,"否决：净利润不为正","达标"))))))</x:f>
      </x:c>
      <x:c r="AM16" s="21"/>
      <x:c r="AN16" s="30" t="str">
        <x:f>IF(B16="","",IF(ABS(SUM('初筛规则'!$B$4:$E$4)-1)&gt;0.000001,"权重未归一",IF(COUNT(AQ16:AT16)&lt;4,"",SUMPRODUCT(AQ16:AT16,'初筛规则'!$B$4:$E$4)*20)))</x:f>
      </x:c>
      <x:c r="AO16" s="44" t="str">
        <x:f>IF(B16="","",IF(ABS(SUM('初筛规则'!$B$4:$E$4)-1)&gt;0.000001,"",SUM(IF(ISNUMBER(AQ16),'初筛规则'!$B$4,0),IF(ISNUMBER(AR16),'初筛规则'!$C$4,0),IF(ISNUMBER(AS16),'初筛规则'!$D$4,0),IF(ISNUMBER(AT16),'初筛规则'!$E$4,0))))</x:f>
      </x:c>
      <x:c r="AP16" s="21" t="str">
        <x:f>IF(B16="","",IF(LEFT(AL16,2)="否决","淘汰（利润否决）",IF(OR(S16="",AU16=""),"待补方法与依据",IF(NOT(ISNUMBER(AN16)),"待补初筛证据",IF(AN16&lt;'初筛规则'!$B$14,"初筛暂缓",IF(AN16&gt;='初筛规则'!$B$13,IF(AL16="达标","优先深挖","优先深挖（利润待验证）"),"保留观察"))))))</x:f>
      </x:c>
      <x:c r="AQ16" s="22"/>
      <x:c r="AR16" s="22"/>
      <x:c r="AS16" s="22"/>
      <x:c r="AT16" s="22"/>
      <x:c r="AU16" s="21"/>
    </x:row>
    <x:row r="17" ht="48" customHeight="1">
      <x:c r="A17" s="21" t="n">
        <x:v>12</x:v>
      </x:c>
      <x:c r="B17" s="21"/>
      <x:c r="C17" s="21"/>
      <x:c r="D17" s="21"/>
      <x:c r="E17" s="21"/>
      <x:c r="F17" s="29"/>
      <x:c r="G17" s="21"/>
      <x:c r="H17" s="30"/>
      <x:c r="I17" s="21"/>
      <x:c r="J17" s="21"/>
      <x:c r="K17" s="24"/>
      <x:c r="L17" s="21"/>
      <x:c r="M17" s="26"/>
      <x:c r="N17" s="29" t="str">
        <x:f>IF(AND(ISNUMBER(F17),F17&gt;0,ISNUMBER(M17),COUNT(Z17:AC17)=4),F17-SUM(M17,Z17:AC17),"")</x:f>
      </x:c>
      <x:c r="O17" s="28" t="str">
        <x:f>IF(AND(ISNUMBER(N17),ISNUMBER(F17),F17&gt;0),N17/F17,"")</x:f>
      </x:c>
      <x:c r="P17" s="21"/>
      <x:c r="Q17" s="21"/>
      <x:c r="R17" s="21"/>
      <x:c r="S17" s="21"/>
      <x:c r="T17" s="21"/>
      <x:c r="U17" s="21"/>
      <x:c r="V17" s="24"/>
      <x:c r="W17" s="21"/>
      <x:c r="X17" s="21"/>
      <x:c r="Y17" s="21"/>
      <x:c r="Z17" s="26"/>
      <x:c r="AA17" s="26"/>
      <x:c r="AB17" s="26"/>
      <x:c r="AC17" s="26"/>
      <x:c r="AD17" s="21" t="str">
        <x:f>IF(B17="","",IF(ISNUMBER(N17),"毛利成本齐","待补毛利成本"))</x:f>
      </x:c>
      <x:c r="AE17" s="21" t="str">
        <x:f>IF(B17="","",IF(OR(COUNT(F17:H17)&lt;3,NOT(ISNUMBER('类目判断'!$B$13))),"待验证",IF(AND(F17&lt;'类目判断'!$B$13,G17&lt;'类目判断'!$B$10,H17&lt;'类目判断'!$B$11),"是","否")))</x:f>
      </x:c>
      <x:c r="AF17" s="29" t="str">
        <x:f>IF(AND(B17&lt;&gt;"",ISNUMBER(F17),ISNUMBER('类目判断'!$B$16)),F17*'类目判断'!$B$16,"")</x:f>
      </x:c>
      <x:c r="AG17" s="26"/>
      <x:c r="AH17" s="26"/>
      <x:c r="AI17" s="26"/>
      <x:c r="AJ17" s="29" t="str">
        <x:f>IF(AND(ISNUMBER(N17),COUNT(AF17:AI17)=4),N17-SUM(AF17:AI17),"")</x:f>
      </x:c>
      <x:c r="AK17" s="28" t="str">
        <x:f>IF(AND(ISNUMBER(AJ17),ISNUMBER(F17),F17&gt;0),AJ17/F17,"")</x:f>
      </x:c>
      <x:c r="AL17" s="21" t="str">
        <x:f>IF(B17="","",IF(NOT(ISNUMBER(O17)),"待补毛利成本",IF(NOT(ISNUMBER('类目判断'!$B$18)),"待填广告参数",IF(ROUND(O17,10)&lt;ROUND('类目判断'!$B$18,10),"否决：毛利率不足",IF(NOT(ISNUMBER(AJ17)),"待补完整成本",IF(AJ17&lt;=0,"否决：净利润不为正","达标"))))))</x:f>
      </x:c>
      <x:c r="AM17" s="21"/>
      <x:c r="AN17" s="30" t="str">
        <x:f>IF(B17="","",IF(ABS(SUM('初筛规则'!$B$4:$E$4)-1)&gt;0.000001,"权重未归一",IF(COUNT(AQ17:AT17)&lt;4,"",SUMPRODUCT(AQ17:AT17,'初筛规则'!$B$4:$E$4)*20)))</x:f>
      </x:c>
      <x:c r="AO17" s="44" t="str">
        <x:f>IF(B17="","",IF(ABS(SUM('初筛规则'!$B$4:$E$4)-1)&gt;0.000001,"",SUM(IF(ISNUMBER(AQ17),'初筛规则'!$B$4,0),IF(ISNUMBER(AR17),'初筛规则'!$C$4,0),IF(ISNUMBER(AS17),'初筛规则'!$D$4,0),IF(ISNUMBER(AT17),'初筛规则'!$E$4,0))))</x:f>
      </x:c>
      <x:c r="AP17" s="21" t="str">
        <x:f>IF(B17="","",IF(LEFT(AL17,2)="否决","淘汰（利润否决）",IF(OR(S17="",AU17=""),"待补方法与依据",IF(NOT(ISNUMBER(AN17)),"待补初筛证据",IF(AN17&lt;'初筛规则'!$B$14,"初筛暂缓",IF(AN17&gt;='初筛规则'!$B$13,IF(AL17="达标","优先深挖","优先深挖（利润待验证）"),"保留观察"))))))</x:f>
      </x:c>
      <x:c r="AQ17" s="22"/>
      <x:c r="AR17" s="22"/>
      <x:c r="AS17" s="22"/>
      <x:c r="AT17" s="22"/>
      <x:c r="AU17" s="21"/>
    </x:row>
    <x:row r="18" ht="48" customHeight="1">
      <x:c r="A18" s="21" t="n">
        <x:v>13</x:v>
      </x:c>
      <x:c r="B18" s="21"/>
      <x:c r="C18" s="21"/>
      <x:c r="D18" s="21"/>
      <x:c r="E18" s="21"/>
      <x:c r="F18" s="29"/>
      <x:c r="G18" s="21"/>
      <x:c r="H18" s="30"/>
      <x:c r="I18" s="21"/>
      <x:c r="J18" s="21"/>
      <x:c r="K18" s="24"/>
      <x:c r="L18" s="21"/>
      <x:c r="M18" s="26"/>
      <x:c r="N18" s="29" t="str">
        <x:f>IF(AND(ISNUMBER(F18),F18&gt;0,ISNUMBER(M18),COUNT(Z18:AC18)=4),F18-SUM(M18,Z18:AC18),"")</x:f>
      </x:c>
      <x:c r="O18" s="28" t="str">
        <x:f>IF(AND(ISNUMBER(N18),ISNUMBER(F18),F18&gt;0),N18/F18,"")</x:f>
      </x:c>
      <x:c r="P18" s="21"/>
      <x:c r="Q18" s="21"/>
      <x:c r="R18" s="21"/>
      <x:c r="S18" s="21"/>
      <x:c r="T18" s="21"/>
      <x:c r="U18" s="21"/>
      <x:c r="V18" s="24"/>
      <x:c r="W18" s="21"/>
      <x:c r="X18" s="21"/>
      <x:c r="Y18" s="21"/>
      <x:c r="Z18" s="26"/>
      <x:c r="AA18" s="26"/>
      <x:c r="AB18" s="26"/>
      <x:c r="AC18" s="26"/>
      <x:c r="AD18" s="21" t="str">
        <x:f>IF(B18="","",IF(ISNUMBER(N18),"毛利成本齐","待补毛利成本"))</x:f>
      </x:c>
      <x:c r="AE18" s="21" t="str">
        <x:f>IF(B18="","",IF(OR(COUNT(F18:H18)&lt;3,NOT(ISNUMBER('类目判断'!$B$13))),"待验证",IF(AND(F18&lt;'类目判断'!$B$13,G18&lt;'类目判断'!$B$10,H18&lt;'类目判断'!$B$11),"是","否")))</x:f>
      </x:c>
      <x:c r="AF18" s="29" t="str">
        <x:f>IF(AND(B18&lt;&gt;"",ISNUMBER(F18),ISNUMBER('类目判断'!$B$16)),F18*'类目判断'!$B$16,"")</x:f>
      </x:c>
      <x:c r="AG18" s="26"/>
      <x:c r="AH18" s="26"/>
      <x:c r="AI18" s="26"/>
      <x:c r="AJ18" s="29" t="str">
        <x:f>IF(AND(ISNUMBER(N18),COUNT(AF18:AI18)=4),N18-SUM(AF18:AI18),"")</x:f>
      </x:c>
      <x:c r="AK18" s="28" t="str">
        <x:f>IF(AND(ISNUMBER(AJ18),ISNUMBER(F18),F18&gt;0),AJ18/F18,"")</x:f>
      </x:c>
      <x:c r="AL18" s="21" t="str">
        <x:f>IF(B18="","",IF(NOT(ISNUMBER(O18)),"待补毛利成本",IF(NOT(ISNUMBER('类目判断'!$B$18)),"待填广告参数",IF(ROUND(O18,10)&lt;ROUND('类目判断'!$B$18,10),"否决：毛利率不足",IF(NOT(ISNUMBER(AJ18)),"待补完整成本",IF(AJ18&lt;=0,"否决：净利润不为正","达标"))))))</x:f>
      </x:c>
      <x:c r="AM18" s="21"/>
      <x:c r="AN18" s="30" t="str">
        <x:f>IF(B18="","",IF(ABS(SUM('初筛规则'!$B$4:$E$4)-1)&gt;0.000001,"权重未归一",IF(COUNT(AQ18:AT18)&lt;4,"",SUMPRODUCT(AQ18:AT18,'初筛规则'!$B$4:$E$4)*20)))</x:f>
      </x:c>
      <x:c r="AO18" s="44" t="str">
        <x:f>IF(B18="","",IF(ABS(SUM('初筛规则'!$B$4:$E$4)-1)&gt;0.000001,"",SUM(IF(ISNUMBER(AQ18),'初筛规则'!$B$4,0),IF(ISNUMBER(AR18),'初筛规则'!$C$4,0),IF(ISNUMBER(AS18),'初筛规则'!$D$4,0),IF(ISNUMBER(AT18),'初筛规则'!$E$4,0))))</x:f>
      </x:c>
      <x:c r="AP18" s="21" t="str">
        <x:f>IF(B18="","",IF(LEFT(AL18,2)="否决","淘汰（利润否决）",IF(OR(S18="",AU18=""),"待补方法与依据",IF(NOT(ISNUMBER(AN18)),"待补初筛证据",IF(AN18&lt;'初筛规则'!$B$14,"初筛暂缓",IF(AN18&gt;='初筛规则'!$B$13,IF(AL18="达标","优先深挖","优先深挖（利润待验证）"),"保留观察"))))))</x:f>
      </x:c>
      <x:c r="AQ18" s="22"/>
      <x:c r="AR18" s="22"/>
      <x:c r="AS18" s="22"/>
      <x:c r="AT18" s="22"/>
      <x:c r="AU18" s="21"/>
    </x:row>
    <x:row r="19" ht="48" customHeight="1">
      <x:c r="A19" s="21" t="n">
        <x:v>14</x:v>
      </x:c>
      <x:c r="B19" s="21"/>
      <x:c r="C19" s="21"/>
      <x:c r="D19" s="21"/>
      <x:c r="E19" s="21"/>
      <x:c r="F19" s="29"/>
      <x:c r="G19" s="21"/>
      <x:c r="H19" s="30"/>
      <x:c r="I19" s="21"/>
      <x:c r="J19" s="21"/>
      <x:c r="K19" s="24"/>
      <x:c r="L19" s="21"/>
      <x:c r="M19" s="26"/>
      <x:c r="N19" s="29" t="str">
        <x:f>IF(AND(ISNUMBER(F19),F19&gt;0,ISNUMBER(M19),COUNT(Z19:AC19)=4),F19-SUM(M19,Z19:AC19),"")</x:f>
      </x:c>
      <x:c r="O19" s="28" t="str">
        <x:f>IF(AND(ISNUMBER(N19),ISNUMBER(F19),F19&gt;0),N19/F19,"")</x:f>
      </x:c>
      <x:c r="P19" s="21"/>
      <x:c r="Q19" s="21"/>
      <x:c r="R19" s="21"/>
      <x:c r="S19" s="21"/>
      <x:c r="T19" s="21"/>
      <x:c r="U19" s="21"/>
      <x:c r="V19" s="24"/>
      <x:c r="W19" s="21"/>
      <x:c r="X19" s="21"/>
      <x:c r="Y19" s="21"/>
      <x:c r="Z19" s="26"/>
      <x:c r="AA19" s="26"/>
      <x:c r="AB19" s="26"/>
      <x:c r="AC19" s="26"/>
      <x:c r="AD19" s="21" t="str">
        <x:f>IF(B19="","",IF(ISNUMBER(N19),"毛利成本齐","待补毛利成本"))</x:f>
      </x:c>
      <x:c r="AE19" s="21" t="str">
        <x:f>IF(B19="","",IF(OR(COUNT(F19:H19)&lt;3,NOT(ISNUMBER('类目判断'!$B$13))),"待验证",IF(AND(F19&lt;'类目判断'!$B$13,G19&lt;'类目判断'!$B$10,H19&lt;'类目判断'!$B$11),"是","否")))</x:f>
      </x:c>
      <x:c r="AF19" s="29" t="str">
        <x:f>IF(AND(B19&lt;&gt;"",ISNUMBER(F19),ISNUMBER('类目判断'!$B$16)),F19*'类目判断'!$B$16,"")</x:f>
      </x:c>
      <x:c r="AG19" s="26"/>
      <x:c r="AH19" s="26"/>
      <x:c r="AI19" s="26"/>
      <x:c r="AJ19" s="29" t="str">
        <x:f>IF(AND(ISNUMBER(N19),COUNT(AF19:AI19)=4),N19-SUM(AF19:AI19),"")</x:f>
      </x:c>
      <x:c r="AK19" s="28" t="str">
        <x:f>IF(AND(ISNUMBER(AJ19),ISNUMBER(F19),F19&gt;0),AJ19/F19,"")</x:f>
      </x:c>
      <x:c r="AL19" s="21" t="str">
        <x:f>IF(B19="","",IF(NOT(ISNUMBER(O19)),"待补毛利成本",IF(NOT(ISNUMBER('类目判断'!$B$18)),"待填广告参数",IF(ROUND(O19,10)&lt;ROUND('类目判断'!$B$18,10),"否决：毛利率不足",IF(NOT(ISNUMBER(AJ19)),"待补完整成本",IF(AJ19&lt;=0,"否决：净利润不为正","达标"))))))</x:f>
      </x:c>
      <x:c r="AM19" s="21"/>
      <x:c r="AN19" s="30" t="str">
        <x:f>IF(B19="","",IF(ABS(SUM('初筛规则'!$B$4:$E$4)-1)&gt;0.000001,"权重未归一",IF(COUNT(AQ19:AT19)&lt;4,"",SUMPRODUCT(AQ19:AT19,'初筛规则'!$B$4:$E$4)*20)))</x:f>
      </x:c>
      <x:c r="AO19" s="44" t="str">
        <x:f>IF(B19="","",IF(ABS(SUM('初筛规则'!$B$4:$E$4)-1)&gt;0.000001,"",SUM(IF(ISNUMBER(AQ19),'初筛规则'!$B$4,0),IF(ISNUMBER(AR19),'初筛规则'!$C$4,0),IF(ISNUMBER(AS19),'初筛规则'!$D$4,0),IF(ISNUMBER(AT19),'初筛规则'!$E$4,0))))</x:f>
      </x:c>
      <x:c r="AP19" s="21" t="str">
        <x:f>IF(B19="","",IF(LEFT(AL19,2)="否决","淘汰（利润否决）",IF(OR(S19="",AU19=""),"待补方法与依据",IF(NOT(ISNUMBER(AN19)),"待补初筛证据",IF(AN19&lt;'初筛规则'!$B$14,"初筛暂缓",IF(AN19&gt;='初筛规则'!$B$13,IF(AL19="达标","优先深挖","优先深挖（利润待验证）"),"保留观察"))))))</x:f>
      </x:c>
      <x:c r="AQ19" s="22"/>
      <x:c r="AR19" s="22"/>
      <x:c r="AS19" s="22"/>
      <x:c r="AT19" s="22"/>
      <x:c r="AU19" s="21"/>
    </x:row>
    <x:row r="20" ht="48" customHeight="1">
      <x:c r="A20" s="21" t="n">
        <x:v>15</x:v>
      </x:c>
      <x:c r="B20" s="21"/>
      <x:c r="C20" s="21"/>
      <x:c r="D20" s="21"/>
      <x:c r="E20" s="21"/>
      <x:c r="F20" s="29"/>
      <x:c r="G20" s="21"/>
      <x:c r="H20" s="30"/>
      <x:c r="I20" s="21"/>
      <x:c r="J20" s="21"/>
      <x:c r="K20" s="24"/>
      <x:c r="L20" s="21"/>
      <x:c r="M20" s="26"/>
      <x:c r="N20" s="29" t="str">
        <x:f>IF(AND(ISNUMBER(F20),F20&gt;0,ISNUMBER(M20),COUNT(Z20:AC20)=4),F20-SUM(M20,Z20:AC20),"")</x:f>
      </x:c>
      <x:c r="O20" s="28" t="str">
        <x:f>IF(AND(ISNUMBER(N20),ISNUMBER(F20),F20&gt;0),N20/F20,"")</x:f>
      </x:c>
      <x:c r="P20" s="21"/>
      <x:c r="Q20" s="21"/>
      <x:c r="R20" s="21"/>
      <x:c r="S20" s="21"/>
      <x:c r="T20" s="21"/>
      <x:c r="U20" s="21"/>
      <x:c r="V20" s="24"/>
      <x:c r="W20" s="21"/>
      <x:c r="X20" s="21"/>
      <x:c r="Y20" s="21"/>
      <x:c r="Z20" s="26"/>
      <x:c r="AA20" s="26"/>
      <x:c r="AB20" s="26"/>
      <x:c r="AC20" s="26"/>
      <x:c r="AD20" s="21" t="str">
        <x:f>IF(B20="","",IF(ISNUMBER(N20),"毛利成本齐","待补毛利成本"))</x:f>
      </x:c>
      <x:c r="AE20" s="21" t="str">
        <x:f>IF(B20="","",IF(OR(COUNT(F20:H20)&lt;3,NOT(ISNUMBER('类目判断'!$B$13))),"待验证",IF(AND(F20&lt;'类目判断'!$B$13,G20&lt;'类目判断'!$B$10,H20&lt;'类目判断'!$B$11),"是","否")))</x:f>
      </x:c>
      <x:c r="AF20" s="29" t="str">
        <x:f>IF(AND(B20&lt;&gt;"",ISNUMBER(F20),ISNUMBER('类目判断'!$B$16)),F20*'类目判断'!$B$16,"")</x:f>
      </x:c>
      <x:c r="AG20" s="26"/>
      <x:c r="AH20" s="26"/>
      <x:c r="AI20" s="26"/>
      <x:c r="AJ20" s="29" t="str">
        <x:f>IF(AND(ISNUMBER(N20),COUNT(AF20:AI20)=4),N20-SUM(AF20:AI20),"")</x:f>
      </x:c>
      <x:c r="AK20" s="28" t="str">
        <x:f>IF(AND(ISNUMBER(AJ20),ISNUMBER(F20),F20&gt;0),AJ20/F20,"")</x:f>
      </x:c>
      <x:c r="AL20" s="21" t="str">
        <x:f>IF(B20="","",IF(NOT(ISNUMBER(O20)),"待补毛利成本",IF(NOT(ISNUMBER('类目判断'!$B$18)),"待填广告参数",IF(ROUND(O20,10)&lt;ROUND('类目判断'!$B$18,10),"否决：毛利率不足",IF(NOT(ISNUMBER(AJ20)),"待补完整成本",IF(AJ20&lt;=0,"否决：净利润不为正","达标"))))))</x:f>
      </x:c>
      <x:c r="AM20" s="21"/>
      <x:c r="AN20" s="30" t="str">
        <x:f>IF(B20="","",IF(ABS(SUM('初筛规则'!$B$4:$E$4)-1)&gt;0.000001,"权重未归一",IF(COUNT(AQ20:AT20)&lt;4,"",SUMPRODUCT(AQ20:AT20,'初筛规则'!$B$4:$E$4)*20)))</x:f>
      </x:c>
      <x:c r="AO20" s="44" t="str">
        <x:f>IF(B20="","",IF(ABS(SUM('初筛规则'!$B$4:$E$4)-1)&gt;0.000001,"",SUM(IF(ISNUMBER(AQ20),'初筛规则'!$B$4,0),IF(ISNUMBER(AR20),'初筛规则'!$C$4,0),IF(ISNUMBER(AS20),'初筛规则'!$D$4,0),IF(ISNUMBER(AT20),'初筛规则'!$E$4,0))))</x:f>
      </x:c>
      <x:c r="AP20" s="21" t="str">
        <x:f>IF(B20="","",IF(LEFT(AL20,2)="否决","淘汰（利润否决）",IF(OR(S20="",AU20=""),"待补方法与依据",IF(NOT(ISNUMBER(AN20)),"待补初筛证据",IF(AN20&lt;'初筛规则'!$B$14,"初筛暂缓",IF(AN20&gt;='初筛规则'!$B$13,IF(AL20="达标","优先深挖","优先深挖（利润待验证）"),"保留观察"))))))</x:f>
      </x:c>
      <x:c r="AQ20" s="22"/>
      <x:c r="AR20" s="22"/>
      <x:c r="AS20" s="22"/>
      <x:c r="AT20" s="22"/>
      <x:c r="AU20" s="21"/>
    </x:row>
    <x:row r="21" ht="48" customHeight="1">
      <x:c r="A21" s="21" t="n">
        <x:v>16</x:v>
      </x:c>
      <x:c r="B21" s="21"/>
      <x:c r="C21" s="21"/>
      <x:c r="D21" s="21"/>
      <x:c r="E21" s="21"/>
      <x:c r="F21" s="29"/>
      <x:c r="G21" s="21"/>
      <x:c r="H21" s="30"/>
      <x:c r="I21" s="21"/>
      <x:c r="J21" s="21"/>
      <x:c r="K21" s="24"/>
      <x:c r="L21" s="21"/>
      <x:c r="M21" s="26"/>
      <x:c r="N21" s="29" t="str">
        <x:f>IF(AND(ISNUMBER(F21),F21&gt;0,ISNUMBER(M21),COUNT(Z21:AC21)=4),F21-SUM(M21,Z21:AC21),"")</x:f>
      </x:c>
      <x:c r="O21" s="28" t="str">
        <x:f>IF(AND(ISNUMBER(N21),ISNUMBER(F21),F21&gt;0),N21/F21,"")</x:f>
      </x:c>
      <x:c r="P21" s="21"/>
      <x:c r="Q21" s="21"/>
      <x:c r="R21" s="21"/>
      <x:c r="S21" s="21"/>
      <x:c r="T21" s="21"/>
      <x:c r="U21" s="21"/>
      <x:c r="V21" s="24"/>
      <x:c r="W21" s="21"/>
      <x:c r="X21" s="21"/>
      <x:c r="Y21" s="21"/>
      <x:c r="Z21" s="26"/>
      <x:c r="AA21" s="26"/>
      <x:c r="AB21" s="26"/>
      <x:c r="AC21" s="26"/>
      <x:c r="AD21" s="21" t="str">
        <x:f>IF(B21="","",IF(ISNUMBER(N21),"毛利成本齐","待补毛利成本"))</x:f>
      </x:c>
      <x:c r="AE21" s="21" t="str">
        <x:f>IF(B21="","",IF(OR(COUNT(F21:H21)&lt;3,NOT(ISNUMBER('类目判断'!$B$13))),"待验证",IF(AND(F21&lt;'类目判断'!$B$13,G21&lt;'类目判断'!$B$10,H21&lt;'类目判断'!$B$11),"是","否")))</x:f>
      </x:c>
      <x:c r="AF21" s="29" t="str">
        <x:f>IF(AND(B21&lt;&gt;"",ISNUMBER(F21),ISNUMBER('类目判断'!$B$16)),F21*'类目判断'!$B$16,"")</x:f>
      </x:c>
      <x:c r="AG21" s="26"/>
      <x:c r="AH21" s="26"/>
      <x:c r="AI21" s="26"/>
      <x:c r="AJ21" s="29" t="str">
        <x:f>IF(AND(ISNUMBER(N21),COUNT(AF21:AI21)=4),N21-SUM(AF21:AI21),"")</x:f>
      </x:c>
      <x:c r="AK21" s="28" t="str">
        <x:f>IF(AND(ISNUMBER(AJ21),ISNUMBER(F21),F21&gt;0),AJ21/F21,"")</x:f>
      </x:c>
      <x:c r="AL21" s="21" t="str">
        <x:f>IF(B21="","",IF(NOT(ISNUMBER(O21)),"待补毛利成本",IF(NOT(ISNUMBER('类目判断'!$B$18)),"待填广告参数",IF(ROUND(O21,10)&lt;ROUND('类目判断'!$B$18,10),"否决：毛利率不足",IF(NOT(ISNUMBER(AJ21)),"待补完整成本",IF(AJ21&lt;=0,"否决：净利润不为正","达标"))))))</x:f>
      </x:c>
      <x:c r="AM21" s="21"/>
      <x:c r="AN21" s="30" t="str">
        <x:f>IF(B21="","",IF(ABS(SUM('初筛规则'!$B$4:$E$4)-1)&gt;0.000001,"权重未归一",IF(COUNT(AQ21:AT21)&lt;4,"",SUMPRODUCT(AQ21:AT21,'初筛规则'!$B$4:$E$4)*20)))</x:f>
      </x:c>
      <x:c r="AO21" s="44" t="str">
        <x:f>IF(B21="","",IF(ABS(SUM('初筛规则'!$B$4:$E$4)-1)&gt;0.000001,"",SUM(IF(ISNUMBER(AQ21),'初筛规则'!$B$4,0),IF(ISNUMBER(AR21),'初筛规则'!$C$4,0),IF(ISNUMBER(AS21),'初筛规则'!$D$4,0),IF(ISNUMBER(AT21),'初筛规则'!$E$4,0))))</x:f>
      </x:c>
      <x:c r="AP21" s="21" t="str">
        <x:f>IF(B21="","",IF(LEFT(AL21,2)="否决","淘汰（利润否决）",IF(OR(S21="",AU21=""),"待补方法与依据",IF(NOT(ISNUMBER(AN21)),"待补初筛证据",IF(AN21&lt;'初筛规则'!$B$14,"初筛暂缓",IF(AN21&gt;='初筛规则'!$B$13,IF(AL21="达标","优先深挖","优先深挖（利润待验证）"),"保留观察"))))))</x:f>
      </x:c>
      <x:c r="AQ21" s="22"/>
      <x:c r="AR21" s="22"/>
      <x:c r="AS21" s="22"/>
      <x:c r="AT21" s="22"/>
      <x:c r="AU21" s="21"/>
    </x:row>
    <x:row r="22" ht="48" customHeight="1">
      <x:c r="A22" s="21" t="n">
        <x:v>17</x:v>
      </x:c>
      <x:c r="B22" s="21"/>
      <x:c r="C22" s="21"/>
      <x:c r="D22" s="21"/>
      <x:c r="E22" s="21"/>
      <x:c r="F22" s="29"/>
      <x:c r="G22" s="21"/>
      <x:c r="H22" s="30"/>
      <x:c r="I22" s="21"/>
      <x:c r="J22" s="21"/>
      <x:c r="K22" s="24"/>
      <x:c r="L22" s="21"/>
      <x:c r="M22" s="26"/>
      <x:c r="N22" s="29" t="str">
        <x:f>IF(AND(ISNUMBER(F22),F22&gt;0,ISNUMBER(M22),COUNT(Z22:AC22)=4),F22-SUM(M22,Z22:AC22),"")</x:f>
      </x:c>
      <x:c r="O22" s="28" t="str">
        <x:f>IF(AND(ISNUMBER(N22),ISNUMBER(F22),F22&gt;0),N22/F22,"")</x:f>
      </x:c>
      <x:c r="P22" s="21"/>
      <x:c r="Q22" s="21"/>
      <x:c r="R22" s="21"/>
      <x:c r="S22" s="21"/>
      <x:c r="T22" s="21"/>
      <x:c r="U22" s="21"/>
      <x:c r="V22" s="24"/>
      <x:c r="W22" s="21"/>
      <x:c r="X22" s="21"/>
      <x:c r="Y22" s="21"/>
      <x:c r="Z22" s="26"/>
      <x:c r="AA22" s="26"/>
      <x:c r="AB22" s="26"/>
      <x:c r="AC22" s="26"/>
      <x:c r="AD22" s="21" t="str">
        <x:f>IF(B22="","",IF(ISNUMBER(N22),"毛利成本齐","待补毛利成本"))</x:f>
      </x:c>
      <x:c r="AE22" s="21" t="str">
        <x:f>IF(B22="","",IF(OR(COUNT(F22:H22)&lt;3,NOT(ISNUMBER('类目判断'!$B$13))),"待验证",IF(AND(F22&lt;'类目判断'!$B$13,G22&lt;'类目判断'!$B$10,H22&lt;'类目判断'!$B$11),"是","否")))</x:f>
      </x:c>
      <x:c r="AF22" s="29" t="str">
        <x:f>IF(AND(B22&lt;&gt;"",ISNUMBER(F22),ISNUMBER('类目判断'!$B$16)),F22*'类目判断'!$B$16,"")</x:f>
      </x:c>
      <x:c r="AG22" s="26"/>
      <x:c r="AH22" s="26"/>
      <x:c r="AI22" s="26"/>
      <x:c r="AJ22" s="29" t="str">
        <x:f>IF(AND(ISNUMBER(N22),COUNT(AF22:AI22)=4),N22-SUM(AF22:AI22),"")</x:f>
      </x:c>
      <x:c r="AK22" s="28" t="str">
        <x:f>IF(AND(ISNUMBER(AJ22),ISNUMBER(F22),F22&gt;0),AJ22/F22,"")</x:f>
      </x:c>
      <x:c r="AL22" s="21" t="str">
        <x:f>IF(B22="","",IF(NOT(ISNUMBER(O22)),"待补毛利成本",IF(NOT(ISNUMBER('类目判断'!$B$18)),"待填广告参数",IF(ROUND(O22,10)&lt;ROUND('类目判断'!$B$18,10),"否决：毛利率不足",IF(NOT(ISNUMBER(AJ22)),"待补完整成本",IF(AJ22&lt;=0,"否决：净利润不为正","达标"))))))</x:f>
      </x:c>
      <x:c r="AM22" s="21"/>
      <x:c r="AN22" s="30" t="str">
        <x:f>IF(B22="","",IF(ABS(SUM('初筛规则'!$B$4:$E$4)-1)&gt;0.000001,"权重未归一",IF(COUNT(AQ22:AT22)&lt;4,"",SUMPRODUCT(AQ22:AT22,'初筛规则'!$B$4:$E$4)*20)))</x:f>
      </x:c>
      <x:c r="AO22" s="44" t="str">
        <x:f>IF(B22="","",IF(ABS(SUM('初筛规则'!$B$4:$E$4)-1)&gt;0.000001,"",SUM(IF(ISNUMBER(AQ22),'初筛规则'!$B$4,0),IF(ISNUMBER(AR22),'初筛规则'!$C$4,0),IF(ISNUMBER(AS22),'初筛规则'!$D$4,0),IF(ISNUMBER(AT22),'初筛规则'!$E$4,0))))</x:f>
      </x:c>
      <x:c r="AP22" s="21" t="str">
        <x:f>IF(B22="","",IF(LEFT(AL22,2)="否决","淘汰（利润否决）",IF(OR(S22="",AU22=""),"待补方法与依据",IF(NOT(ISNUMBER(AN22)),"待补初筛证据",IF(AN22&lt;'初筛规则'!$B$14,"初筛暂缓",IF(AN22&gt;='初筛规则'!$B$13,IF(AL22="达标","优先深挖","优先深挖（利润待验证）"),"保留观察"))))))</x:f>
      </x:c>
      <x:c r="AQ22" s="22"/>
      <x:c r="AR22" s="22"/>
      <x:c r="AS22" s="22"/>
      <x:c r="AT22" s="22"/>
      <x:c r="AU22" s="21"/>
    </x:row>
    <x:row r="23" ht="48" customHeight="1">
      <x:c r="A23" s="21" t="n">
        <x:v>18</x:v>
      </x:c>
      <x:c r="B23" s="21"/>
      <x:c r="C23" s="21"/>
      <x:c r="D23" s="21"/>
      <x:c r="E23" s="21"/>
      <x:c r="F23" s="29"/>
      <x:c r="G23" s="21"/>
      <x:c r="H23" s="30"/>
      <x:c r="I23" s="21"/>
      <x:c r="J23" s="21"/>
      <x:c r="K23" s="24"/>
      <x:c r="L23" s="21"/>
      <x:c r="M23" s="26"/>
      <x:c r="N23" s="29" t="str">
        <x:f>IF(AND(ISNUMBER(F23),F23&gt;0,ISNUMBER(M23),COUNT(Z23:AC23)=4),F23-SUM(M23,Z23:AC23),"")</x:f>
      </x:c>
      <x:c r="O23" s="28" t="str">
        <x:f>IF(AND(ISNUMBER(N23),ISNUMBER(F23),F23&gt;0),N23/F23,"")</x:f>
      </x:c>
      <x:c r="P23" s="21"/>
      <x:c r="Q23" s="21"/>
      <x:c r="R23" s="21"/>
      <x:c r="S23" s="21"/>
      <x:c r="T23" s="21"/>
      <x:c r="U23" s="21"/>
      <x:c r="V23" s="24"/>
      <x:c r="W23" s="21"/>
      <x:c r="X23" s="21"/>
      <x:c r="Y23" s="21"/>
      <x:c r="Z23" s="26"/>
      <x:c r="AA23" s="26"/>
      <x:c r="AB23" s="26"/>
      <x:c r="AC23" s="26"/>
      <x:c r="AD23" s="21" t="str">
        <x:f>IF(B23="","",IF(ISNUMBER(N23),"毛利成本齐","待补毛利成本"))</x:f>
      </x:c>
      <x:c r="AE23" s="21" t="str">
        <x:f>IF(B23="","",IF(OR(COUNT(F23:H23)&lt;3,NOT(ISNUMBER('类目判断'!$B$13))),"待验证",IF(AND(F23&lt;'类目判断'!$B$13,G23&lt;'类目判断'!$B$10,H23&lt;'类目判断'!$B$11),"是","否")))</x:f>
      </x:c>
      <x:c r="AF23" s="29" t="str">
        <x:f>IF(AND(B23&lt;&gt;"",ISNUMBER(F23),ISNUMBER('类目判断'!$B$16)),F23*'类目判断'!$B$16,"")</x:f>
      </x:c>
      <x:c r="AG23" s="26"/>
      <x:c r="AH23" s="26"/>
      <x:c r="AI23" s="26"/>
      <x:c r="AJ23" s="29" t="str">
        <x:f>IF(AND(ISNUMBER(N23),COUNT(AF23:AI23)=4),N23-SUM(AF23:AI23),"")</x:f>
      </x:c>
      <x:c r="AK23" s="28" t="str">
        <x:f>IF(AND(ISNUMBER(AJ23),ISNUMBER(F23),F23&gt;0),AJ23/F23,"")</x:f>
      </x:c>
      <x:c r="AL23" s="21" t="str">
        <x:f>IF(B23="","",IF(NOT(ISNUMBER(O23)),"待补毛利成本",IF(NOT(ISNUMBER('类目判断'!$B$18)),"待填广告参数",IF(ROUND(O23,10)&lt;ROUND('类目判断'!$B$18,10),"否决：毛利率不足",IF(NOT(ISNUMBER(AJ23)),"待补完整成本",IF(AJ23&lt;=0,"否决：净利润不为正","达标"))))))</x:f>
      </x:c>
      <x:c r="AM23" s="21"/>
      <x:c r="AN23" s="30" t="str">
        <x:f>IF(B23="","",IF(ABS(SUM('初筛规则'!$B$4:$E$4)-1)&gt;0.000001,"权重未归一",IF(COUNT(AQ23:AT23)&lt;4,"",SUMPRODUCT(AQ23:AT23,'初筛规则'!$B$4:$E$4)*20)))</x:f>
      </x:c>
      <x:c r="AO23" s="44" t="str">
        <x:f>IF(B23="","",IF(ABS(SUM('初筛规则'!$B$4:$E$4)-1)&gt;0.000001,"",SUM(IF(ISNUMBER(AQ23),'初筛规则'!$B$4,0),IF(ISNUMBER(AR23),'初筛规则'!$C$4,0),IF(ISNUMBER(AS23),'初筛规则'!$D$4,0),IF(ISNUMBER(AT23),'初筛规则'!$E$4,0))))</x:f>
      </x:c>
      <x:c r="AP23" s="21" t="str">
        <x:f>IF(B23="","",IF(LEFT(AL23,2)="否决","淘汰（利润否决）",IF(OR(S23="",AU23=""),"待补方法与依据",IF(NOT(ISNUMBER(AN23)),"待补初筛证据",IF(AN23&lt;'初筛规则'!$B$14,"初筛暂缓",IF(AN23&gt;='初筛规则'!$B$13,IF(AL23="达标","优先深挖","优先深挖（利润待验证）"),"保留观察"))))))</x:f>
      </x:c>
      <x:c r="AQ23" s="22"/>
      <x:c r="AR23" s="22"/>
      <x:c r="AS23" s="22"/>
      <x:c r="AT23" s="22"/>
      <x:c r="AU23" s="21"/>
    </x:row>
    <x:row r="24" ht="48" customHeight="1">
      <x:c r="A24" s="21" t="n">
        <x:v>19</x:v>
      </x:c>
      <x:c r="B24" s="21"/>
      <x:c r="C24" s="21"/>
      <x:c r="D24" s="21"/>
      <x:c r="E24" s="21"/>
      <x:c r="F24" s="29"/>
      <x:c r="G24" s="21"/>
      <x:c r="H24" s="30"/>
      <x:c r="I24" s="21"/>
      <x:c r="J24" s="21"/>
      <x:c r="K24" s="24"/>
      <x:c r="L24" s="21"/>
      <x:c r="M24" s="26"/>
      <x:c r="N24" s="29" t="str">
        <x:f>IF(AND(ISNUMBER(F24),F24&gt;0,ISNUMBER(M24),COUNT(Z24:AC24)=4),F24-SUM(M24,Z24:AC24),"")</x:f>
      </x:c>
      <x:c r="O24" s="28" t="str">
        <x:f>IF(AND(ISNUMBER(N24),ISNUMBER(F24),F24&gt;0),N24/F24,"")</x:f>
      </x:c>
      <x:c r="P24" s="21"/>
      <x:c r="Q24" s="21"/>
      <x:c r="R24" s="21"/>
      <x:c r="S24" s="21"/>
      <x:c r="T24" s="21"/>
      <x:c r="U24" s="21"/>
      <x:c r="V24" s="24"/>
      <x:c r="W24" s="21"/>
      <x:c r="X24" s="21"/>
      <x:c r="Y24" s="21"/>
      <x:c r="Z24" s="26"/>
      <x:c r="AA24" s="26"/>
      <x:c r="AB24" s="26"/>
      <x:c r="AC24" s="26"/>
      <x:c r="AD24" s="21" t="str">
        <x:f>IF(B24="","",IF(ISNUMBER(N24),"毛利成本齐","待补毛利成本"))</x:f>
      </x:c>
      <x:c r="AE24" s="21" t="str">
        <x:f>IF(B24="","",IF(OR(COUNT(F24:H24)&lt;3,NOT(ISNUMBER('类目判断'!$B$13))),"待验证",IF(AND(F24&lt;'类目判断'!$B$13,G24&lt;'类目判断'!$B$10,H24&lt;'类目判断'!$B$11),"是","否")))</x:f>
      </x:c>
      <x:c r="AF24" s="29" t="str">
        <x:f>IF(AND(B24&lt;&gt;"",ISNUMBER(F24),ISNUMBER('类目判断'!$B$16)),F24*'类目判断'!$B$16,"")</x:f>
      </x:c>
      <x:c r="AG24" s="26"/>
      <x:c r="AH24" s="26"/>
      <x:c r="AI24" s="26"/>
      <x:c r="AJ24" s="29" t="str">
        <x:f>IF(AND(ISNUMBER(N24),COUNT(AF24:AI24)=4),N24-SUM(AF24:AI24),"")</x:f>
      </x:c>
      <x:c r="AK24" s="28" t="str">
        <x:f>IF(AND(ISNUMBER(AJ24),ISNUMBER(F24),F24&gt;0),AJ24/F24,"")</x:f>
      </x:c>
      <x:c r="AL24" s="21" t="str">
        <x:f>IF(B24="","",IF(NOT(ISNUMBER(O24)),"待补毛利成本",IF(NOT(ISNUMBER('类目判断'!$B$18)),"待填广告参数",IF(ROUND(O24,10)&lt;ROUND('类目判断'!$B$18,10),"否决：毛利率不足",IF(NOT(ISNUMBER(AJ24)),"待补完整成本",IF(AJ24&lt;=0,"否决：净利润不为正","达标"))))))</x:f>
      </x:c>
      <x:c r="AM24" s="21"/>
      <x:c r="AN24" s="30" t="str">
        <x:f>IF(B24="","",IF(ABS(SUM('初筛规则'!$B$4:$E$4)-1)&gt;0.000001,"权重未归一",IF(COUNT(AQ24:AT24)&lt;4,"",SUMPRODUCT(AQ24:AT24,'初筛规则'!$B$4:$E$4)*20)))</x:f>
      </x:c>
      <x:c r="AO24" s="44" t="str">
        <x:f>IF(B24="","",IF(ABS(SUM('初筛规则'!$B$4:$E$4)-1)&gt;0.000001,"",SUM(IF(ISNUMBER(AQ24),'初筛规则'!$B$4,0),IF(ISNUMBER(AR24),'初筛规则'!$C$4,0),IF(ISNUMBER(AS24),'初筛规则'!$D$4,0),IF(ISNUMBER(AT24),'初筛规则'!$E$4,0))))</x:f>
      </x:c>
      <x:c r="AP24" s="21" t="str">
        <x:f>IF(B24="","",IF(LEFT(AL24,2)="否决","淘汰（利润否决）",IF(OR(S24="",AU24=""),"待补方法与依据",IF(NOT(ISNUMBER(AN24)),"待补初筛证据",IF(AN24&lt;'初筛规则'!$B$14,"初筛暂缓",IF(AN24&gt;='初筛规则'!$B$13,IF(AL24="达标","优先深挖","优先深挖（利润待验证）"),"保留观察"))))))</x:f>
      </x:c>
      <x:c r="AQ24" s="22"/>
      <x:c r="AR24" s="22"/>
      <x:c r="AS24" s="22"/>
      <x:c r="AT24" s="22"/>
      <x:c r="AU24" s="21"/>
    </x:row>
    <x:row r="25" ht="48" customHeight="1">
      <x:c r="A25" s="21" t="n">
        <x:v>20</x:v>
      </x:c>
      <x:c r="B25" s="21"/>
      <x:c r="C25" s="21"/>
      <x:c r="D25" s="21"/>
      <x:c r="E25" s="21"/>
      <x:c r="F25" s="29"/>
      <x:c r="G25" s="21"/>
      <x:c r="H25" s="30"/>
      <x:c r="I25" s="21"/>
      <x:c r="J25" s="21"/>
      <x:c r="K25" s="24"/>
      <x:c r="L25" s="21"/>
      <x:c r="M25" s="26"/>
      <x:c r="N25" s="29" t="str">
        <x:f>IF(AND(ISNUMBER(F25),F25&gt;0,ISNUMBER(M25),COUNT(Z25:AC25)=4),F25-SUM(M25,Z25:AC25),"")</x:f>
      </x:c>
      <x:c r="O25" s="28" t="str">
        <x:f>IF(AND(ISNUMBER(N25),ISNUMBER(F25),F25&gt;0),N25/F25,"")</x:f>
      </x:c>
      <x:c r="P25" s="21"/>
      <x:c r="Q25" s="21"/>
      <x:c r="R25" s="21"/>
      <x:c r="S25" s="21"/>
      <x:c r="T25" s="21"/>
      <x:c r="U25" s="21"/>
      <x:c r="V25" s="24"/>
      <x:c r="W25" s="21"/>
      <x:c r="X25" s="21"/>
      <x:c r="Y25" s="21"/>
      <x:c r="Z25" s="26"/>
      <x:c r="AA25" s="26"/>
      <x:c r="AB25" s="26"/>
      <x:c r="AC25" s="26"/>
      <x:c r="AD25" s="21" t="str">
        <x:f>IF(B25="","",IF(ISNUMBER(N25),"毛利成本齐","待补毛利成本"))</x:f>
      </x:c>
      <x:c r="AE25" s="21" t="str">
        <x:f>IF(B25="","",IF(OR(COUNT(F25:H25)&lt;3,NOT(ISNUMBER('类目判断'!$B$13))),"待验证",IF(AND(F25&lt;'类目判断'!$B$13,G25&lt;'类目判断'!$B$10,H25&lt;'类目判断'!$B$11),"是","否")))</x:f>
      </x:c>
      <x:c r="AF25" s="29" t="str">
        <x:f>IF(AND(B25&lt;&gt;"",ISNUMBER(F25),ISNUMBER('类目判断'!$B$16)),F25*'类目判断'!$B$16,"")</x:f>
      </x:c>
      <x:c r="AG25" s="26"/>
      <x:c r="AH25" s="26"/>
      <x:c r="AI25" s="26"/>
      <x:c r="AJ25" s="29" t="str">
        <x:f>IF(AND(ISNUMBER(N25),COUNT(AF25:AI25)=4),N25-SUM(AF25:AI25),"")</x:f>
      </x:c>
      <x:c r="AK25" s="28" t="str">
        <x:f>IF(AND(ISNUMBER(AJ25),ISNUMBER(F25),F25&gt;0),AJ25/F25,"")</x:f>
      </x:c>
      <x:c r="AL25" s="21" t="str">
        <x:f>IF(B25="","",IF(NOT(ISNUMBER(O25)),"待补毛利成本",IF(NOT(ISNUMBER('类目判断'!$B$18)),"待填广告参数",IF(ROUND(O25,10)&lt;ROUND('类目判断'!$B$18,10),"否决：毛利率不足",IF(NOT(ISNUMBER(AJ25)),"待补完整成本",IF(AJ25&lt;=0,"否决：净利润不为正","达标"))))))</x:f>
      </x:c>
      <x:c r="AM25" s="21"/>
      <x:c r="AN25" s="30" t="str">
        <x:f>IF(B25="","",IF(ABS(SUM('初筛规则'!$B$4:$E$4)-1)&gt;0.000001,"权重未归一",IF(COUNT(AQ25:AT25)&lt;4,"",SUMPRODUCT(AQ25:AT25,'初筛规则'!$B$4:$E$4)*20)))</x:f>
      </x:c>
      <x:c r="AO25" s="44" t="str">
        <x:f>IF(B25="","",IF(ABS(SUM('初筛规则'!$B$4:$E$4)-1)&gt;0.000001,"",SUM(IF(ISNUMBER(AQ25),'初筛规则'!$B$4,0),IF(ISNUMBER(AR25),'初筛规则'!$C$4,0),IF(ISNUMBER(AS25),'初筛规则'!$D$4,0),IF(ISNUMBER(AT25),'初筛规则'!$E$4,0))))</x:f>
      </x:c>
      <x:c r="AP25" s="21" t="str">
        <x:f>IF(B25="","",IF(LEFT(AL25,2)="否决","淘汰（利润否决）",IF(OR(S25="",AU25=""),"待补方法与依据",IF(NOT(ISNUMBER(AN25)),"待补初筛证据",IF(AN25&lt;'初筛规则'!$B$14,"初筛暂缓",IF(AN25&gt;='初筛规则'!$B$13,IF(AL25="达标","优先深挖","优先深挖（利润待验证）"),"保留观察"))))))</x:f>
      </x:c>
      <x:c r="AQ25" s="22"/>
      <x:c r="AR25" s="22"/>
      <x:c r="AS25" s="22"/>
      <x:c r="AT25" s="22"/>
      <x:c r="AU25" s="21"/>
    </x:row>
  </x:sheetData>
  <x:conditionalFormatting sqref="H6:H25">
    <x:cfRule type="expression" dxfId="1" priority="1">
      <x:formula>AND(ISNUMBER(H6),H6&lt;INDIRECT("'类目判断'!$B$11"))</x:formula>
    </x:cfRule>
  </x:conditionalFormatting>
  <x:conditionalFormatting sqref="AL6:AL25">
    <x:cfRule type="containsText" dxfId="2" priority="2" operator="containsText" text="否决"/>
  </x:conditionalFormatting>
  <x:dataValidations count="8">
    <x:dataValidation type="list" sqref="L6:L25">
      <x:formula1>"FBA,FBM,混合,待核查"</x:formula1>
    </x:dataValidation>
    <x:dataValidation type="list" sqref="Q6:Q25">
      <x:formula1>"待核查,发现相关专利,初步未发现,已确认相关风险"</x:formula1>
    </x:dataValidation>
    <x:dataValidation type="list" sqref="R6:R25">
      <x:formula1>"是,否,待核查"</x:formula1>
    </x:dataValidation>
    <x:dataValidation type="whole" operator="between" sqref="G6:G25">
      <x:formula1>0</x:formula1>
      <x:formula2>10000000</x:formula2>
    </x:dataValidation>
    <x:dataValidation type="whole" operator="between" sqref="J6:J25">
      <x:formula1>0</x:formula1>
      <x:formula2>10000000</x:formula2>
    </x:dataValidation>
    <x:dataValidation type="decimal" operator="between" sqref="H6:H25">
      <x:formula1>0</x:formula1>
      <x:formula2>5</x:formula2>
    </x:dataValidation>
    <x:dataValidation type="list" sqref="S6:S25">
      <x:formula1>"榜单选品法,软件选品法,国内电商选品法,关键词选品法,前台自动索引选品法,产业链／产业带选品法,优秀店铺选品法,社交媒体选品法,跨平台／跨市场法,差评痛点法,细分人群／场景法,产品差异化法,配件／组合选品法,趋势与季节选品法,竞品分析法"</x:formula1>
    </x:dataValidation>
    <x:dataValidation type="whole" operator="between" sqref="AQ6:AT25">
      <x:formula1>1</x:formula1>
      <x:formula2>5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c82d75e25018428a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8" hidden="0" customWidth="1"/>
    <x:col min="2" max="2" width="32" hidden="0" customWidth="1"/>
    <x:col min="3" max="3" width="36" hidden="0" customWidth="1"/>
    <x:col min="4" max="4" width="28" hidden="0" customWidth="1"/>
    <x:col min="5" max="5" width="14" hidden="0" customWidth="1"/>
    <x:col min="6" max="6" width="23" hidden="0" customWidth="1"/>
    <x:col min="7" max="7" width="14" hidden="0" customWidth="1"/>
    <x:col min="8" max="8" width="35" hidden="0" customWidth="1"/>
    <x:col min="9" max="9" width="35" hidden="0" customWidth="1"/>
    <x:col min="10" max="10" width="40" hidden="0" customWidth="1"/>
    <x:col min="11" max="11" width="48" hidden="0" customWidth="1"/>
    <x:col min="12" max="12" width="17" hidden="0" customWidth="1"/>
    <x:col min="13" max="13" width="16" hidden="0" customWidth="1"/>
    <x:col min="14" max="14" width="44" hidden="0" customWidth="1"/>
  </x:cols>
  <x:sheetData>
    <x:row r="1" ht="28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8" customHeight="1">
      <x:c r="A2" s="3" t="str">
        <x:v>市场容量与关键词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8" customHeight="1">
      <x:c r="A3" s="4" t="str">
        <x:v>指标注明周期、单位与来源；搜索量不等于销量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8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38" customHeight="1">
      <x:c r="A5" s="18" t="str">
        <x:v>分析维度</x:v>
      </x:c>
      <x:c r="B5" s="19" t="str">
        <x:v>关键词／指标</x:v>
      </x:c>
      <x:c r="C5" s="19" t="str">
        <x:v>买家意图／定义</x:v>
      </x:c>
      <x:c r="D5" s="19" t="str">
        <x:v>数值／观察</x:v>
      </x:c>
      <x:c r="E5" s="19" t="str">
        <x:v>单位</x:v>
      </x:c>
      <x:c r="F5" s="19" t="str">
        <x:v>统计周期</x:v>
      </x:c>
      <x:c r="G5" s="19" t="str">
        <x:v>站点</x:v>
      </x:c>
      <x:c r="H5" s="19" t="str">
        <x:v>趋势／季节性</x:v>
      </x:c>
      <x:c r="I5" s="19" t="str">
        <x:v>竞争／相关性</x:v>
      </x:c>
      <x:c r="J5" s="19" t="str">
        <x:v>差异化启示</x:v>
      </x:c>
      <x:c r="K5" s="19" t="str">
        <x:v>来源</x:v>
      </x:c>
      <x:c r="L5" s="19" t="str">
        <x:v>采集日期</x:v>
      </x:c>
      <x:c r="M5" s="19" t="str">
        <x:v>数据状态</x:v>
      </x:c>
      <x:c r="N5" s="20" t="str">
        <x:v>限制</x:v>
      </x:c>
    </x:row>
    <x:row r="6" ht="58" customHeight="1">
      <x:c r="A6" s="21"/>
      <x:c r="B6" s="21"/>
      <x:c r="C6" s="21"/>
      <x:c r="D6" s="21"/>
      <x:c r="E6" s="21"/>
      <x:c r="F6" s="21"/>
      <x:c r="G6" s="21"/>
      <x:c r="H6" s="21"/>
      <x:c r="I6" s="21"/>
      <x:c r="J6" s="21"/>
      <x:c r="K6" s="21"/>
      <x:c r="L6" s="24"/>
      <x:c r="M6" s="21"/>
      <x:c r="N6" s="21"/>
    </x:row>
    <x:row r="7" ht="58" customHeight="1">
      <x:c r="A7" s="21"/>
      <x:c r="B7" s="21"/>
      <x:c r="C7" s="21"/>
      <x:c r="D7" s="21"/>
      <x:c r="E7" s="21"/>
      <x:c r="F7" s="21"/>
      <x:c r="G7" s="21"/>
      <x:c r="H7" s="21"/>
      <x:c r="I7" s="21"/>
      <x:c r="J7" s="21"/>
      <x:c r="K7" s="21"/>
      <x:c r="L7" s="24"/>
      <x:c r="M7" s="21"/>
      <x:c r="N7" s="21"/>
    </x:row>
    <x:row r="8" ht="58" customHeight="1">
      <x:c r="A8" s="21"/>
      <x:c r="B8" s="21"/>
      <x:c r="C8" s="21"/>
      <x:c r="D8" s="21"/>
      <x:c r="E8" s="21"/>
      <x:c r="F8" s="21"/>
      <x:c r="G8" s="21"/>
      <x:c r="H8" s="21"/>
      <x:c r="I8" s="21"/>
      <x:c r="J8" s="21"/>
      <x:c r="K8" s="21"/>
      <x:c r="L8" s="24"/>
      <x:c r="M8" s="21"/>
      <x:c r="N8" s="21"/>
    </x:row>
    <x:row r="9" ht="58" customHeight="1">
      <x:c r="A9" s="21"/>
      <x:c r="B9" s="21"/>
      <x:c r="C9" s="21"/>
      <x:c r="D9" s="21"/>
      <x:c r="E9" s="21"/>
      <x:c r="F9" s="21"/>
      <x:c r="G9" s="21"/>
      <x:c r="H9" s="21"/>
      <x:c r="I9" s="21"/>
      <x:c r="J9" s="21"/>
      <x:c r="K9" s="21"/>
      <x:c r="L9" s="24"/>
      <x:c r="M9" s="21"/>
      <x:c r="N9" s="21"/>
    </x:row>
    <x:row r="10" ht="58" customHeight="1">
      <x:c r="A10" s="21"/>
      <x:c r="B10" s="21"/>
      <x:c r="C10" s="21"/>
      <x:c r="D10" s="21"/>
      <x:c r="E10" s="21"/>
      <x:c r="F10" s="21"/>
      <x:c r="G10" s="21"/>
      <x:c r="H10" s="21"/>
      <x:c r="I10" s="21"/>
      <x:c r="J10" s="21"/>
      <x:c r="K10" s="21"/>
      <x:c r="L10" s="24"/>
      <x:c r="M10" s="21"/>
      <x:c r="N10" s="21"/>
    </x:row>
    <x:row r="11" ht="58" customHeight="1">
      <x:c r="A11" s="21"/>
      <x:c r="B11" s="21"/>
      <x:c r="C11" s="21"/>
      <x:c r="D11" s="21"/>
      <x:c r="E11" s="21"/>
      <x:c r="F11" s="21"/>
      <x:c r="G11" s="21"/>
      <x:c r="H11" s="21"/>
      <x:c r="I11" s="21"/>
      <x:c r="J11" s="21"/>
      <x:c r="K11" s="21"/>
      <x:c r="L11" s="24"/>
      <x:c r="M11" s="21"/>
      <x:c r="N11" s="21"/>
    </x:row>
    <x:row r="12" ht="58" customHeight="1">
      <x:c r="A12" s="21"/>
      <x:c r="B12" s="21"/>
      <x:c r="C12" s="21"/>
      <x:c r="D12" s="21"/>
      <x:c r="E12" s="21"/>
      <x:c r="F12" s="21"/>
      <x:c r="G12" s="21"/>
      <x:c r="H12" s="21"/>
      <x:c r="I12" s="21"/>
      <x:c r="J12" s="21"/>
      <x:c r="K12" s="21"/>
      <x:c r="L12" s="24"/>
      <x:c r="M12" s="21"/>
      <x:c r="N12" s="21"/>
    </x:row>
    <x:row r="13" ht="58" customHeight="1">
      <x:c r="A13" s="21"/>
      <x:c r="B13" s="21"/>
      <x:c r="C13" s="21"/>
      <x:c r="D13" s="21"/>
      <x:c r="E13" s="21"/>
      <x:c r="F13" s="21"/>
      <x:c r="G13" s="21"/>
      <x:c r="H13" s="21"/>
      <x:c r="I13" s="21"/>
      <x:c r="J13" s="21"/>
      <x:c r="K13" s="21"/>
      <x:c r="L13" s="24"/>
      <x:c r="M13" s="21"/>
      <x:c r="N13" s="21"/>
    </x:row>
    <x:row r="14" ht="58" customHeight="1">
      <x:c r="A14" s="21"/>
      <x:c r="B14" s="21"/>
      <x:c r="C14" s="21"/>
      <x:c r="D14" s="21"/>
      <x:c r="E14" s="21"/>
      <x:c r="F14" s="21"/>
      <x:c r="G14" s="21"/>
      <x:c r="H14" s="21"/>
      <x:c r="I14" s="21"/>
      <x:c r="J14" s="21"/>
      <x:c r="K14" s="21"/>
      <x:c r="L14" s="24"/>
      <x:c r="M14" s="21"/>
      <x:c r="N14" s="21"/>
    </x:row>
    <x:row r="15" ht="58" customHeight="1">
      <x:c r="A15" s="21"/>
      <x:c r="B15" s="21"/>
      <x:c r="C15" s="21"/>
      <x:c r="D15" s="21"/>
      <x:c r="E15" s="21"/>
      <x:c r="F15" s="21"/>
      <x:c r="G15" s="21"/>
      <x:c r="H15" s="21"/>
      <x:c r="I15" s="21"/>
      <x:c r="J15" s="21"/>
      <x:c r="K15" s="21"/>
      <x:c r="L15" s="24"/>
      <x:c r="M15" s="21"/>
      <x:c r="N15" s="21"/>
    </x:row>
    <x:row r="16" ht="58" customHeight="1">
      <x:c r="A16" s="21"/>
      <x:c r="B16" s="21"/>
      <x:c r="C16" s="21"/>
      <x:c r="D16" s="21"/>
      <x:c r="E16" s="21"/>
      <x:c r="F16" s="21"/>
      <x:c r="G16" s="21"/>
      <x:c r="H16" s="21"/>
      <x:c r="I16" s="21"/>
      <x:c r="J16" s="21"/>
      <x:c r="K16" s="21"/>
      <x:c r="L16" s="24"/>
      <x:c r="M16" s="21"/>
      <x:c r="N16" s="21"/>
    </x:row>
    <x:row r="17" ht="58" customHeight="1">
      <x:c r="A17" s="21"/>
      <x:c r="B17" s="21"/>
      <x:c r="C17" s="21"/>
      <x:c r="D17" s="21"/>
      <x:c r="E17" s="21"/>
      <x:c r="F17" s="21"/>
      <x:c r="G17" s="21"/>
      <x:c r="H17" s="21"/>
      <x:c r="I17" s="21"/>
      <x:c r="J17" s="21"/>
      <x:c r="K17" s="21"/>
      <x:c r="L17" s="24"/>
      <x:c r="M17" s="21"/>
      <x:c r="N17" s="21"/>
    </x:row>
    <x:row r="18" ht="58" customHeight="1">
      <x:c r="A18" s="21"/>
      <x:c r="B18" s="21"/>
      <x:c r="C18" s="21"/>
      <x:c r="D18" s="21"/>
      <x:c r="E18" s="21"/>
      <x:c r="F18" s="21"/>
      <x:c r="G18" s="21"/>
      <x:c r="H18" s="21"/>
      <x:c r="I18" s="21"/>
      <x:c r="J18" s="21"/>
      <x:c r="K18" s="21"/>
      <x:c r="L18" s="24"/>
      <x:c r="M18" s="21"/>
      <x:c r="N18" s="21"/>
    </x:row>
    <x:row r="19" ht="58" customHeight="1">
      <x:c r="A19" s="21"/>
      <x:c r="B19" s="21"/>
      <x:c r="C19" s="21"/>
      <x:c r="D19" s="21"/>
      <x:c r="E19" s="21"/>
      <x:c r="F19" s="21"/>
      <x:c r="G19" s="21"/>
      <x:c r="H19" s="21"/>
      <x:c r="I19" s="21"/>
      <x:c r="J19" s="21"/>
      <x:c r="K19" s="21"/>
      <x:c r="L19" s="24"/>
      <x:c r="M19" s="21"/>
      <x:c r="N19" s="21"/>
    </x:row>
    <x:row r="20" ht="58" customHeight="1">
      <x:c r="A20" s="21"/>
      <x:c r="B20" s="21"/>
      <x:c r="C20" s="21"/>
      <x:c r="D20" s="21"/>
      <x:c r="E20" s="21"/>
      <x:c r="F20" s="21"/>
      <x:c r="G20" s="21"/>
      <x:c r="H20" s="21"/>
      <x:c r="I20" s="21"/>
      <x:c r="J20" s="21"/>
      <x:c r="K20" s="21"/>
      <x:c r="L20" s="24"/>
      <x:c r="M20" s="21"/>
      <x:c r="N20" s="21"/>
    </x:row>
    <x:row r="21" ht="58" customHeight="1">
      <x:c r="A21" s="21"/>
      <x:c r="B21" s="21"/>
      <x:c r="C21" s="21"/>
      <x:c r="D21" s="21"/>
      <x:c r="E21" s="21"/>
      <x:c r="F21" s="21"/>
      <x:c r="G21" s="21"/>
      <x:c r="H21" s="21"/>
      <x:c r="I21" s="21"/>
      <x:c r="J21" s="21"/>
      <x:c r="K21" s="21"/>
      <x:c r="L21" s="24"/>
      <x:c r="M21" s="21"/>
      <x:c r="N21" s="21"/>
    </x:row>
    <x:row r="22" ht="58" customHeight="1">
      <x:c r="A22" s="21"/>
      <x:c r="B22" s="21"/>
      <x:c r="C22" s="21"/>
      <x:c r="D22" s="21"/>
      <x:c r="E22" s="21"/>
      <x:c r="F22" s="21"/>
      <x:c r="G22" s="21"/>
      <x:c r="H22" s="21"/>
      <x:c r="I22" s="21"/>
      <x:c r="J22" s="21"/>
      <x:c r="K22" s="21"/>
      <x:c r="L22" s="24"/>
      <x:c r="M22" s="21"/>
      <x:c r="N22" s="21"/>
    </x:row>
    <x:row r="23" ht="58" customHeight="1">
      <x:c r="A23" s="21"/>
      <x:c r="B23" s="21"/>
      <x:c r="C23" s="21"/>
      <x:c r="D23" s="21"/>
      <x:c r="E23" s="21"/>
      <x:c r="F23" s="21"/>
      <x:c r="G23" s="21"/>
      <x:c r="H23" s="21"/>
      <x:c r="I23" s="21"/>
      <x:c r="J23" s="21"/>
      <x:c r="K23" s="21"/>
      <x:c r="L23" s="24"/>
      <x:c r="M23" s="21"/>
      <x:c r="N23" s="21"/>
    </x:row>
    <x:row r="24" ht="58" customHeight="1">
      <x:c r="A24" s="21"/>
      <x:c r="B24" s="21"/>
      <x:c r="C24" s="21"/>
      <x:c r="D24" s="21"/>
      <x:c r="E24" s="21"/>
      <x:c r="F24" s="21"/>
      <x:c r="G24" s="21"/>
      <x:c r="H24" s="21"/>
      <x:c r="I24" s="21"/>
      <x:c r="J24" s="21"/>
      <x:c r="K24" s="21"/>
      <x:c r="L24" s="24"/>
      <x:c r="M24" s="21"/>
      <x:c r="N24" s="21"/>
    </x:row>
    <x:row r="25" ht="58" customHeight="1">
      <x:c r="A25" s="21"/>
      <x:c r="B25" s="21"/>
      <x:c r="C25" s="21"/>
      <x:c r="D25" s="21"/>
      <x:c r="E25" s="21"/>
      <x:c r="F25" s="21"/>
      <x:c r="G25" s="21"/>
      <x:c r="H25" s="21"/>
      <x:c r="I25" s="21"/>
      <x:c r="J25" s="21"/>
      <x:c r="K25" s="21"/>
      <x:c r="L25" s="24"/>
      <x:c r="M25" s="21"/>
      <x:c r="N25" s="21"/>
    </x:row>
  </x:sheetData>
  <x:dataValidations count="2">
    <x:dataValidation type="list" sqref="A6:A25">
      <x:formula1>"市场容量,关键词"</x:formula1>
    </x:dataValidation>
    <x:dataValidation type="list" sqref="M6:M25">
      <x:formula1>"实测,估算,假设,待采集"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176a40f3cbc4d78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6" hidden="0" customWidth="1"/>
    <x:col min="2" max="2" width="8" hidden="0" customWidth="1"/>
    <x:col min="3" max="3" width="17" hidden="0" customWidth="1"/>
    <x:col min="4" max="4" width="50" hidden="0" customWidth="1"/>
    <x:col min="5" max="5" width="23" hidden="0" customWidth="1"/>
    <x:col min="6" max="6" width="32" hidden="0" customWidth="1"/>
    <x:col min="7" max="7" width="32" hidden="0" customWidth="1"/>
    <x:col min="8" max="8" width="40" hidden="0" customWidth="1"/>
    <x:col min="9" max="9" width="17" hidden="0" customWidth="1"/>
    <x:col min="10" max="10" width="35" hidden="0" customWidth="1"/>
    <x:col min="11" max="11" width="44" hidden="0" customWidth="1"/>
    <x:col min="12" max="12" width="44" hidden="0" customWidth="1"/>
    <x:col min="13" max="13" width="17" hidden="0" customWidth="1"/>
    <x:col min="14" max="14" width="40" hidden="0" customWidth="1"/>
  </x:cols>
  <x:sheetData>
    <x:row r="1" ht="28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8" customHeight="1">
      <x:c r="A2" s="3" t="str">
        <x:v>1–3星差评分析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8" customHeight="1">
      <x:c r="A3" s="4" t="str">
        <x:v>每个独立评论一行，主要问题归类；次数仅代表样本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8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38" customHeight="1">
      <x:c r="A5" s="18" t="str">
        <x:v>ASIN</x:v>
      </x:c>
      <x:c r="B5" s="19" t="str">
        <x:v>星级</x:v>
      </x:c>
      <x:c r="C5" s="19" t="str">
        <x:v>评论日期</x:v>
      </x:c>
      <x:c r="D5" s="19" t="str">
        <x:v>原文短摘／摘要</x:v>
      </x:c>
      <x:c r="E5" s="19" t="str">
        <x:v>问题分类</x:v>
      </x:c>
      <x:c r="F5" s="19" t="str">
        <x:v>具体问题</x:v>
      </x:c>
      <x:c r="G5" s="19" t="str">
        <x:v>使用场景</x:v>
      </x:c>
      <x:c r="H5" s="19" t="str">
        <x:v>产品改进方向</x:v>
      </x:c>
      <x:c r="I5" s="19" t="str">
        <x:v>样本内出现次数</x:v>
      </x:c>
      <x:c r="J5" s="19" t="str">
        <x:v>采样范围</x:v>
      </x:c>
      <x:c r="K5" s="19" t="str">
        <x:v>评论链接／ID</x:v>
      </x:c>
      <x:c r="L5" s="19" t="str">
        <x:v>数据来源</x:v>
      </x:c>
      <x:c r="M5" s="19" t="str">
        <x:v>采集日期</x:v>
      </x:c>
      <x:c r="N5" s="20" t="str">
        <x:v>备注</x:v>
      </x:c>
    </x:row>
    <x:row r="6" ht="58" customHeight="1">
      <x:c r="A6" s="21"/>
      <x:c r="B6" s="21"/>
      <x:c r="C6" s="24"/>
      <x:c r="D6" s="21"/>
      <x:c r="E6" s="21"/>
      <x:c r="F6" s="21"/>
      <x:c r="G6" s="21"/>
      <x:c r="H6" s="21"/>
      <x:c r="I6" s="21" t="str">
        <x:f>IF(OR(A6="",B6="",F6=""),"",COUNTIFS($E$6:$E$25,E6,$F$6:$F$25,F6,$A$6:$A$25,"&lt;&gt;"))</x:f>
      </x:c>
      <x:c r="J6" s="21"/>
      <x:c r="K6" s="21"/>
      <x:c r="L6" s="21"/>
      <x:c r="M6" s="24"/>
      <x:c r="N6" s="21"/>
    </x:row>
    <x:row r="7" ht="58" customHeight="1">
      <x:c r="A7" s="21"/>
      <x:c r="B7" s="21"/>
      <x:c r="C7" s="24"/>
      <x:c r="D7" s="21"/>
      <x:c r="E7" s="21"/>
      <x:c r="F7" s="21"/>
      <x:c r="G7" s="21"/>
      <x:c r="H7" s="21"/>
      <x:c r="I7" s="21" t="str">
        <x:f>IF(OR(A7="",B7="",F7=""),"",COUNTIFS($E$6:$E$25,E7,$F$6:$F$25,F7,$A$6:$A$25,"&lt;&gt;"))</x:f>
      </x:c>
      <x:c r="J7" s="21"/>
      <x:c r="K7" s="21"/>
      <x:c r="L7" s="21"/>
      <x:c r="M7" s="24"/>
      <x:c r="N7" s="21"/>
    </x:row>
    <x:row r="8" ht="58" customHeight="1">
      <x:c r="A8" s="21"/>
      <x:c r="B8" s="21"/>
      <x:c r="C8" s="24"/>
      <x:c r="D8" s="21"/>
      <x:c r="E8" s="21"/>
      <x:c r="F8" s="21"/>
      <x:c r="G8" s="21"/>
      <x:c r="H8" s="21"/>
      <x:c r="I8" s="21" t="str">
        <x:f>IF(OR(A8="",B8="",F8=""),"",COUNTIFS($E$6:$E$25,E8,$F$6:$F$25,F8,$A$6:$A$25,"&lt;&gt;"))</x:f>
      </x:c>
      <x:c r="J8" s="21"/>
      <x:c r="K8" s="21"/>
      <x:c r="L8" s="21"/>
      <x:c r="M8" s="24"/>
      <x:c r="N8" s="21"/>
    </x:row>
    <x:row r="9" ht="58" customHeight="1">
      <x:c r="A9" s="21"/>
      <x:c r="B9" s="21"/>
      <x:c r="C9" s="24"/>
      <x:c r="D9" s="21"/>
      <x:c r="E9" s="21"/>
      <x:c r="F9" s="21"/>
      <x:c r="G9" s="21"/>
      <x:c r="H9" s="21"/>
      <x:c r="I9" s="21" t="str">
        <x:f>IF(OR(A9="",B9="",F9=""),"",COUNTIFS($E$6:$E$25,E9,$F$6:$F$25,F9,$A$6:$A$25,"&lt;&gt;"))</x:f>
      </x:c>
      <x:c r="J9" s="21"/>
      <x:c r="K9" s="21"/>
      <x:c r="L9" s="21"/>
      <x:c r="M9" s="24"/>
      <x:c r="N9" s="21"/>
    </x:row>
    <x:row r="10" ht="58" customHeight="1">
      <x:c r="A10" s="21"/>
      <x:c r="B10" s="21"/>
      <x:c r="C10" s="24"/>
      <x:c r="D10" s="21"/>
      <x:c r="E10" s="21"/>
      <x:c r="F10" s="21"/>
      <x:c r="G10" s="21"/>
      <x:c r="H10" s="21"/>
      <x:c r="I10" s="21" t="str">
        <x:f>IF(OR(A10="",B10="",F10=""),"",COUNTIFS($E$6:$E$25,E10,$F$6:$F$25,F10,$A$6:$A$25,"&lt;&gt;"))</x:f>
      </x:c>
      <x:c r="J10" s="21"/>
      <x:c r="K10" s="21"/>
      <x:c r="L10" s="21"/>
      <x:c r="M10" s="24"/>
      <x:c r="N10" s="21"/>
    </x:row>
    <x:row r="11" ht="58" customHeight="1">
      <x:c r="A11" s="21"/>
      <x:c r="B11" s="21"/>
      <x:c r="C11" s="24"/>
      <x:c r="D11" s="21"/>
      <x:c r="E11" s="21"/>
      <x:c r="F11" s="21"/>
      <x:c r="G11" s="21"/>
      <x:c r="H11" s="21"/>
      <x:c r="I11" s="21" t="str">
        <x:f>IF(OR(A11="",B11="",F11=""),"",COUNTIFS($E$6:$E$25,E11,$F$6:$F$25,F11,$A$6:$A$25,"&lt;&gt;"))</x:f>
      </x:c>
      <x:c r="J11" s="21"/>
      <x:c r="K11" s="21"/>
      <x:c r="L11" s="21"/>
      <x:c r="M11" s="24"/>
      <x:c r="N11" s="21"/>
    </x:row>
    <x:row r="12" ht="58" customHeight="1">
      <x:c r="A12" s="21"/>
      <x:c r="B12" s="21"/>
      <x:c r="C12" s="24"/>
      <x:c r="D12" s="21"/>
      <x:c r="E12" s="21"/>
      <x:c r="F12" s="21"/>
      <x:c r="G12" s="21"/>
      <x:c r="H12" s="21"/>
      <x:c r="I12" s="21" t="str">
        <x:f>IF(OR(A12="",B12="",F12=""),"",COUNTIFS($E$6:$E$25,E12,$F$6:$F$25,F12,$A$6:$A$25,"&lt;&gt;"))</x:f>
      </x:c>
      <x:c r="J12" s="21"/>
      <x:c r="K12" s="21"/>
      <x:c r="L12" s="21"/>
      <x:c r="M12" s="24"/>
      <x:c r="N12" s="21"/>
    </x:row>
    <x:row r="13" ht="58" customHeight="1">
      <x:c r="A13" s="21"/>
      <x:c r="B13" s="21"/>
      <x:c r="C13" s="24"/>
      <x:c r="D13" s="21"/>
      <x:c r="E13" s="21"/>
      <x:c r="F13" s="21"/>
      <x:c r="G13" s="21"/>
      <x:c r="H13" s="21"/>
      <x:c r="I13" s="21" t="str">
        <x:f>IF(OR(A13="",B13="",F13=""),"",COUNTIFS($E$6:$E$25,E13,$F$6:$F$25,F13,$A$6:$A$25,"&lt;&gt;"))</x:f>
      </x:c>
      <x:c r="J13" s="21"/>
      <x:c r="K13" s="21"/>
      <x:c r="L13" s="21"/>
      <x:c r="M13" s="24"/>
      <x:c r="N13" s="21"/>
    </x:row>
    <x:row r="14" ht="58" customHeight="1">
      <x:c r="A14" s="21"/>
      <x:c r="B14" s="21"/>
      <x:c r="C14" s="24"/>
      <x:c r="D14" s="21"/>
      <x:c r="E14" s="21"/>
      <x:c r="F14" s="21"/>
      <x:c r="G14" s="21"/>
      <x:c r="H14" s="21"/>
      <x:c r="I14" s="21" t="str">
        <x:f>IF(OR(A14="",B14="",F14=""),"",COUNTIFS($E$6:$E$25,E14,$F$6:$F$25,F14,$A$6:$A$25,"&lt;&gt;"))</x:f>
      </x:c>
      <x:c r="J14" s="21"/>
      <x:c r="K14" s="21"/>
      <x:c r="L14" s="21"/>
      <x:c r="M14" s="24"/>
      <x:c r="N14" s="21"/>
    </x:row>
    <x:row r="15" ht="58" customHeight="1">
      <x:c r="A15" s="21"/>
      <x:c r="B15" s="21"/>
      <x:c r="C15" s="24"/>
      <x:c r="D15" s="21"/>
      <x:c r="E15" s="21"/>
      <x:c r="F15" s="21"/>
      <x:c r="G15" s="21"/>
      <x:c r="H15" s="21"/>
      <x:c r="I15" s="21" t="str">
        <x:f>IF(OR(A15="",B15="",F15=""),"",COUNTIFS($E$6:$E$25,E15,$F$6:$F$25,F15,$A$6:$A$25,"&lt;&gt;"))</x:f>
      </x:c>
      <x:c r="J15" s="21"/>
      <x:c r="K15" s="21"/>
      <x:c r="L15" s="21"/>
      <x:c r="M15" s="24"/>
      <x:c r="N15" s="21"/>
    </x:row>
    <x:row r="16" ht="58" customHeight="1">
      <x:c r="A16" s="21"/>
      <x:c r="B16" s="21"/>
      <x:c r="C16" s="24"/>
      <x:c r="D16" s="21"/>
      <x:c r="E16" s="21"/>
      <x:c r="F16" s="21"/>
      <x:c r="G16" s="21"/>
      <x:c r="H16" s="21"/>
      <x:c r="I16" s="21" t="str">
        <x:f>IF(OR(A16="",B16="",F16=""),"",COUNTIFS($E$6:$E$25,E16,$F$6:$F$25,F16,$A$6:$A$25,"&lt;&gt;"))</x:f>
      </x:c>
      <x:c r="J16" s="21"/>
      <x:c r="K16" s="21"/>
      <x:c r="L16" s="21"/>
      <x:c r="M16" s="24"/>
      <x:c r="N16" s="21"/>
    </x:row>
    <x:row r="17" ht="58" customHeight="1">
      <x:c r="A17" s="21"/>
      <x:c r="B17" s="21"/>
      <x:c r="C17" s="24"/>
      <x:c r="D17" s="21"/>
      <x:c r="E17" s="21"/>
      <x:c r="F17" s="21"/>
      <x:c r="G17" s="21"/>
      <x:c r="H17" s="21"/>
      <x:c r="I17" s="21" t="str">
        <x:f>IF(OR(A17="",B17="",F17=""),"",COUNTIFS($E$6:$E$25,E17,$F$6:$F$25,F17,$A$6:$A$25,"&lt;&gt;"))</x:f>
      </x:c>
      <x:c r="J17" s="21"/>
      <x:c r="K17" s="21"/>
      <x:c r="L17" s="21"/>
      <x:c r="M17" s="24"/>
      <x:c r="N17" s="21"/>
    </x:row>
    <x:row r="18" ht="58" customHeight="1">
      <x:c r="A18" s="21"/>
      <x:c r="B18" s="21"/>
      <x:c r="C18" s="24"/>
      <x:c r="D18" s="21"/>
      <x:c r="E18" s="21"/>
      <x:c r="F18" s="21"/>
      <x:c r="G18" s="21"/>
      <x:c r="H18" s="21"/>
      <x:c r="I18" s="21" t="str">
        <x:f>IF(OR(A18="",B18="",F18=""),"",COUNTIFS($E$6:$E$25,E18,$F$6:$F$25,F18,$A$6:$A$25,"&lt;&gt;"))</x:f>
      </x:c>
      <x:c r="J18" s="21"/>
      <x:c r="K18" s="21"/>
      <x:c r="L18" s="21"/>
      <x:c r="M18" s="24"/>
      <x:c r="N18" s="21"/>
    </x:row>
    <x:row r="19" ht="58" customHeight="1">
      <x:c r="A19" s="21"/>
      <x:c r="B19" s="21"/>
      <x:c r="C19" s="24"/>
      <x:c r="D19" s="21"/>
      <x:c r="E19" s="21"/>
      <x:c r="F19" s="21"/>
      <x:c r="G19" s="21"/>
      <x:c r="H19" s="21"/>
      <x:c r="I19" s="21" t="str">
        <x:f>IF(OR(A19="",B19="",F19=""),"",COUNTIFS($E$6:$E$25,E19,$F$6:$F$25,F19,$A$6:$A$25,"&lt;&gt;"))</x:f>
      </x:c>
      <x:c r="J19" s="21"/>
      <x:c r="K19" s="21"/>
      <x:c r="L19" s="21"/>
      <x:c r="M19" s="24"/>
      <x:c r="N19" s="21"/>
    </x:row>
    <x:row r="20" ht="58" customHeight="1">
      <x:c r="A20" s="21"/>
      <x:c r="B20" s="21"/>
      <x:c r="C20" s="24"/>
      <x:c r="D20" s="21"/>
      <x:c r="E20" s="21"/>
      <x:c r="F20" s="21"/>
      <x:c r="G20" s="21"/>
      <x:c r="H20" s="21"/>
      <x:c r="I20" s="21" t="str">
        <x:f>IF(OR(A20="",B20="",F20=""),"",COUNTIFS($E$6:$E$25,E20,$F$6:$F$25,F20,$A$6:$A$25,"&lt;&gt;"))</x:f>
      </x:c>
      <x:c r="J20" s="21"/>
      <x:c r="K20" s="21"/>
      <x:c r="L20" s="21"/>
      <x:c r="M20" s="24"/>
      <x:c r="N20" s="21"/>
    </x:row>
    <x:row r="21" ht="58" customHeight="1">
      <x:c r="A21" s="21"/>
      <x:c r="B21" s="21"/>
      <x:c r="C21" s="24"/>
      <x:c r="D21" s="21"/>
      <x:c r="E21" s="21"/>
      <x:c r="F21" s="21"/>
      <x:c r="G21" s="21"/>
      <x:c r="H21" s="21"/>
      <x:c r="I21" s="21" t="str">
        <x:f>IF(OR(A21="",B21="",F21=""),"",COUNTIFS($E$6:$E$25,E21,$F$6:$F$25,F21,$A$6:$A$25,"&lt;&gt;"))</x:f>
      </x:c>
      <x:c r="J21" s="21"/>
      <x:c r="K21" s="21"/>
      <x:c r="L21" s="21"/>
      <x:c r="M21" s="24"/>
      <x:c r="N21" s="21"/>
    </x:row>
    <x:row r="22" ht="58" customHeight="1">
      <x:c r="A22" s="21"/>
      <x:c r="B22" s="21"/>
      <x:c r="C22" s="24"/>
      <x:c r="D22" s="21"/>
      <x:c r="E22" s="21"/>
      <x:c r="F22" s="21"/>
      <x:c r="G22" s="21"/>
      <x:c r="H22" s="21"/>
      <x:c r="I22" s="21" t="str">
        <x:f>IF(OR(A22="",B22="",F22=""),"",COUNTIFS($E$6:$E$25,E22,$F$6:$F$25,F22,$A$6:$A$25,"&lt;&gt;"))</x:f>
      </x:c>
      <x:c r="J22" s="21"/>
      <x:c r="K22" s="21"/>
      <x:c r="L22" s="21"/>
      <x:c r="M22" s="24"/>
      <x:c r="N22" s="21"/>
    </x:row>
    <x:row r="23" ht="58" customHeight="1">
      <x:c r="A23" s="21"/>
      <x:c r="B23" s="21"/>
      <x:c r="C23" s="24"/>
      <x:c r="D23" s="21"/>
      <x:c r="E23" s="21"/>
      <x:c r="F23" s="21"/>
      <x:c r="G23" s="21"/>
      <x:c r="H23" s="21"/>
      <x:c r="I23" s="21" t="str">
        <x:f>IF(OR(A23="",B23="",F23=""),"",COUNTIFS($E$6:$E$25,E23,$F$6:$F$25,F23,$A$6:$A$25,"&lt;&gt;"))</x:f>
      </x:c>
      <x:c r="J23" s="21"/>
      <x:c r="K23" s="21"/>
      <x:c r="L23" s="21"/>
      <x:c r="M23" s="24"/>
      <x:c r="N23" s="21"/>
    </x:row>
    <x:row r="24" ht="58" customHeight="1">
      <x:c r="A24" s="21"/>
      <x:c r="B24" s="21"/>
      <x:c r="C24" s="24"/>
      <x:c r="D24" s="21"/>
      <x:c r="E24" s="21"/>
      <x:c r="F24" s="21"/>
      <x:c r="G24" s="21"/>
      <x:c r="H24" s="21"/>
      <x:c r="I24" s="21" t="str">
        <x:f>IF(OR(A24="",B24="",F24=""),"",COUNTIFS($E$6:$E$25,E24,$F$6:$F$25,F24,$A$6:$A$25,"&lt;&gt;"))</x:f>
      </x:c>
      <x:c r="J24" s="21"/>
      <x:c r="K24" s="21"/>
      <x:c r="L24" s="21"/>
      <x:c r="M24" s="24"/>
      <x:c r="N24" s="21"/>
    </x:row>
    <x:row r="25" ht="58" customHeight="1">
      <x:c r="A25" s="21"/>
      <x:c r="B25" s="21"/>
      <x:c r="C25" s="24"/>
      <x:c r="D25" s="21"/>
      <x:c r="E25" s="21"/>
      <x:c r="F25" s="21"/>
      <x:c r="G25" s="21"/>
      <x:c r="H25" s="21"/>
      <x:c r="I25" s="21" t="str">
        <x:f>IF(OR(A25="",B25="",F25=""),"",COUNTIFS($E$6:$E$25,E25,$F$6:$F$25,F25,$A$6:$A$25,"&lt;&gt;"))</x:f>
      </x:c>
      <x:c r="J25" s="21"/>
      <x:c r="K25" s="21"/>
      <x:c r="L25" s="21"/>
      <x:c r="M25" s="24"/>
      <x:c r="N25" s="21"/>
    </x:row>
  </x:sheetData>
  <x:dataValidations count="2">
    <x:dataValidation type="whole" operator="between" sqref="B6:B25">
      <x:formula1>1</x:formula1>
      <x:formula2>3</x:formula2>
    </x:dataValidation>
    <x:dataValidation type="list" sqref="E6:E25">
      <x:formula1>"质量与耐用性,尺寸与适配,使用场景缺失,其他"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6a4041127c0479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42" hidden="0" customWidth="1"/>
    <x:col min="3" max="3" width="45" hidden="0" customWidth="1"/>
    <x:col min="4" max="4" width="47" hidden="0" customWidth="1"/>
    <x:col min="5" max="5" width="47" hidden="0" customWidth="1"/>
    <x:col min="6" max="6" width="46" hidden="0" customWidth="1"/>
  </x:cols>
  <x:sheetData>
    <x:row r="1" ht="30" customHeight="1">
      <x:c r="A1" s="2"/>
      <x:c r="B1" s="2"/>
      <x:c r="C1" s="2"/>
      <x:c r="D1" s="2"/>
      <x:c r="E1" s="2"/>
      <x:c r="F1" s="2"/>
    </x:row>
    <x:row r="2" ht="30" customHeight="1">
      <x:c r="A2" s="3" t="str">
        <x:v>初筛评分规则</x:v>
      </x:c>
      <x:c r="B2" s="2"/>
      <x:c r="C2" s="2"/>
      <x:c r="D2" s="2"/>
      <x:c r="E2" s="2"/>
      <x:c r="F2" s="2"/>
    </x:row>
    <x:row r="3" ht="30" customHeight="1">
      <x:c r="A3" s="4" t="str">
        <x:v>初筛决定研究顺序；利润独立否决，不参与加权抵消</x:v>
      </x:c>
      <x:c r="B3" s="2"/>
      <x:c r="C3" s="2"/>
      <x:c r="D3" s="2"/>
      <x:c r="E3" s="2"/>
      <x:c r="F3" s="2"/>
    </x:row>
    <x:row r="4" ht="30" customHeight="1">
      <x:c r="A4" s="2" t="str">
        <x:v>候选权重</x:v>
      </x:c>
      <x:c r="B4" s="32" t="n">
        <x:v>0.3</x:v>
      </x:c>
      <x:c r="C4" s="32" t="n">
        <x:v>0.25</x:v>
      </x:c>
      <x:c r="D4" s="32" t="n">
        <x:v>0.2</x:v>
      </x:c>
      <x:c r="E4" s="32" t="n">
        <x:v>0.25</x:v>
      </x:c>
      <x:c r="F4" s="31" t="n">
        <x:f>SUM(B4:E4)</x:f>
        <x:v>1</x:v>
      </x:c>
    </x:row>
    <x:row r="5" ht="42" customHeight="1">
      <x:c r="A5" s="18" t="str">
        <x:v>维度</x:v>
      </x:c>
      <x:c r="B5" s="19" t="str">
        <x:v>市场容量</x:v>
      </x:c>
      <x:c r="C5" s="19" t="str">
        <x:v>市场竞争</x:v>
      </x:c>
      <x:c r="D5" s="19" t="str">
        <x:v>关键词</x:v>
      </x:c>
      <x:c r="E5" s="19" t="str">
        <x:v>差异化</x:v>
      </x:c>
      <x:c r="F5" s="20" t="str">
        <x:v>合计</x:v>
      </x:c>
    </x:row>
    <x:row r="6" ht="30" customHeight="1">
      <x:c r="A6" s="2"/>
      <x:c r="B6" s="2"/>
      <x:c r="C6" s="2"/>
      <x:c r="D6" s="2"/>
      <x:c r="E6" s="2"/>
      <x:c r="F6" s="2"/>
    </x:row>
    <x:row r="7" ht="76" customHeight="1">
      <x:c r="A7" s="21" t="str">
        <x:v>市场容量</x:v>
      </x:c>
      <x:c r="B7" s="21" t="str">
        <x:v>30%默认</x:v>
      </x:c>
      <x:c r="C7" s="21" t="str">
        <x:v>1：目标市场线索弱</x:v>
      </x:c>
      <x:c r="D7" s="21" t="str">
        <x:v>3：有相关需求与趋势线索</x:v>
      </x:c>
      <x:c r="E7" s="21" t="str">
        <x:v>5：多来源持续需求、规模有支撑</x:v>
      </x:c>
      <x:c r="F7" s="21" t="str">
        <x:v>搜索量非销量；未知留空</x:v>
      </x:c>
    </x:row>
    <x:row r="8" ht="76" customHeight="1">
      <x:c r="A8" s="21" t="str">
        <x:v>市场竞争</x:v>
      </x:c>
      <x:c r="B8" s="21" t="str">
        <x:v>25%默认</x:v>
      </x:c>
      <x:c r="C8" s="21" t="str">
        <x:v>1：集中、自营、评论或SKU壁垒明显</x:v>
      </x:c>
      <x:c r="D8" s="21" t="str">
        <x:v>3：部分类目信号友好，词或店铺空间待验证</x:v>
      </x:c>
      <x:c r="E8" s="21" t="str">
        <x:v>5：类目机会、广告承受力、店铺／SKU空间有证据</x:v>
      </x:c>
      <x:c r="F8" s="21" t="str">
        <x:v>初筛注明限制；深度看三层竞争及前20</x:v>
      </x:c>
    </x:row>
    <x:row r="9" ht="76" customHeight="1">
      <x:c r="A9" s="21" t="str">
        <x:v>关键词</x:v>
      </x:c>
      <x:c r="B9" s="21" t="str">
        <x:v>20%默认</x:v>
      </x:c>
      <x:c r="C9" s="21" t="str">
        <x:v>1：意图模糊或不匹配</x:v>
      </x:c>
      <x:c r="D9" s="21" t="str">
        <x:v>3：核心词与用途匹配、有长尾</x:v>
      </x:c>
      <x:c r="E9" s="21" t="str">
        <x:v>5：购买意图与需求证据清楚、可触达</x:v>
      </x:c>
      <x:c r="F9" s="21" t="str">
        <x:v>过滤品牌及资讯词</x:v>
      </x:c>
    </x:row>
    <x:row r="10" ht="76" customHeight="1">
      <x:c r="A10" s="21" t="str">
        <x:v>差异化</x:v>
      </x:c>
      <x:c r="B10" s="21" t="str">
        <x:v>25%默认</x:v>
      </x:c>
      <x:c r="C10" s="21" t="str">
        <x:v>1：同款比价，无明确改进</x:v>
      </x:c>
      <x:c r="D10" s="21" t="str">
        <x:v>3：具体痛点或场景，方案待验证</x:v>
      </x:c>
      <x:c r="E10" s="21" t="str">
        <x:v>5：重复需求、可实现改善与验证计划</x:v>
      </x:c>
      <x:c r="F10" s="21" t="str">
        <x:v>缺证据不凭想象打分</x:v>
      </x:c>
    </x:row>
    <x:row r="11" ht="30" customHeight="1">
      <x:c r="A11" s="21"/>
      <x:c r="B11" s="21"/>
      <x:c r="C11" s="21"/>
      <x:c r="D11" s="21"/>
      <x:c r="E11" s="21"/>
      <x:c r="F11" s="21"/>
    </x:row>
    <x:row r="12" ht="42" customHeight="1">
      <x:c r="A12" s="18" t="str">
        <x:v>初筛分档</x:v>
      </x:c>
      <x:c r="B12" s="19" t="str">
        <x:v>最低分</x:v>
      </x:c>
      <x:c r="C12" s="19" t="str">
        <x:v>用途</x:v>
      </x:c>
      <x:c r="D12" s="20" t="str">
        <x:v>利润约束</x:v>
      </x:c>
      <x:c r="E12" s="21"/>
      <x:c r="F12" s="21"/>
    </x:row>
    <x:row r="13" ht="30" customHeight="1">
      <x:c r="A13" s="21" t="str">
        <x:v>优先深挖</x:v>
      </x:c>
      <x:c r="B13" s="22" t="n">
        <x:v>75</x:v>
      </x:c>
      <x:c r="C13" s="21" t="str">
        <x:v>决定下一阶段研究顺序</x:v>
      </x:c>
      <x:c r="D13" s="21" t="str">
        <x:v>利润未验证仍不能判可做</x:v>
      </x:c>
      <x:c r="E13" s="21"/>
      <x:c r="F13" s="21"/>
    </x:row>
    <x:row r="14" ht="30" customHeight="1">
      <x:c r="A14" s="21" t="str">
        <x:v>保留观察</x:v>
      </x:c>
      <x:c r="B14" s="22" t="n">
        <x:v>60</x:v>
      </x:c>
      <x:c r="C14" s="21" t="str">
        <x:v>补齐较弱证据再研究</x:v>
      </x:c>
      <x:c r="D14" s="21" t="str">
        <x:v>利润否决时直接排除</x:v>
      </x:c>
      <x:c r="E14" s="21"/>
      <x:c r="F14" s="21"/>
    </x:row>
    <x:row r="15" ht="30" customHeight="1">
      <x:c r="A15" s="21"/>
      <x:c r="B15" s="21"/>
      <x:c r="C15" s="21"/>
      <x:c r="D15" s="21"/>
      <x:c r="E15" s="21"/>
      <x:c r="F15" s="21"/>
    </x:row>
    <x:row r="16" ht="30" customHeight="1">
      <x:c r="A16" s="21" t="str">
        <x:v>方法优先级权重</x:v>
      </x:c>
      <x:c r="B16" s="21"/>
      <x:c r="C16" s="21"/>
      <x:c r="D16" s="21"/>
      <x:c r="E16" s="21"/>
      <x:c r="F16" s="21"/>
    </x:row>
    <x:row r="17" ht="42" customHeight="1">
      <x:c r="A17" s="18" t="str">
        <x:v>维度</x:v>
      </x:c>
      <x:c r="B17" s="19" t="str">
        <x:v>需求证据</x:v>
      </x:c>
      <x:c r="C17" s="19" t="str">
        <x:v>差异化发现</x:v>
      </x:c>
      <x:c r="D17" s="19" t="str">
        <x:v>执行效率</x:v>
      </x:c>
      <x:c r="E17" s="19" t="str">
        <x:v>资源匹配</x:v>
      </x:c>
      <x:c r="F17" s="20" t="str">
        <x:v>获取成本</x:v>
      </x:c>
    </x:row>
    <x:row r="18" ht="30" customHeight="1">
      <x:c r="A18" s="21"/>
      <x:c r="B18" s="34" t="n">
        <x:v>0.35</x:v>
      </x:c>
      <x:c r="C18" s="34" t="n">
        <x:v>0.25</x:v>
      </x:c>
      <x:c r="D18" s="34" t="n">
        <x:v>0.2</x:v>
      </x:c>
      <x:c r="E18" s="34" t="n">
        <x:v>0.1</x:v>
      </x:c>
      <x:c r="F18" s="34" t="n">
        <x:v>0.1</x:v>
      </x:c>
    </x:row>
    <x:row r="19" ht="30" customHeight="1">
      <x:c r="A19" s="21"/>
      <x:c r="B19" s="21"/>
      <x:c r="C19" s="21"/>
      <x:c r="D19" s="21"/>
      <x:c r="E19" s="21"/>
      <x:c r="F19" s="21"/>
    </x:row>
    <x:row r="20" ht="50" customHeight="1">
      <x:c r="A20" s="21" t="str">
        <x:v>评分方向</x:v>
      </x:c>
      <x:c r="B20" s="21" t="str">
        <x:v>各项1–5，越高越好；获取成本高分表示更容易／成本更低</x:v>
      </x:c>
      <x:c r="C20" s="21"/>
      <x:c r="D20" s="21"/>
      <x:c r="E20" s="21"/>
      <x:c r="F20" s="21"/>
    </x:row>
    <x:row r="21" ht="50" customHeight="1">
      <x:c r="A21" s="21" t="str">
        <x:v>候选计算</x:v>
      </x:c>
      <x:c r="B21" s="21" t="str">
        <x:v>四项分数×各自权重×20，满分100，四项齐全才显示总分</x:v>
      </x:c>
      <x:c r="C21" s="21"/>
      <x:c r="D21" s="21"/>
      <x:c r="E21" s="21"/>
      <x:c r="F21" s="21"/>
    </x:row>
    <x:row r="22" ht="50" customHeight="1">
      <x:c r="A22" s="21" t="str">
        <x:v>方法计算</x:v>
      </x:c>
      <x:c r="B22" s="21" t="str">
        <x:v>五项分数×权重×20；启用渠道按优先分归一为建议投入权重</x:v>
      </x:c>
      <x:c r="C22" s="21"/>
      <x:c r="D22" s="21"/>
      <x:c r="E22" s="21"/>
      <x:c r="F22" s="21"/>
    </x:row>
    <x:row r="23" ht="50" customHeight="1">
      <x:c r="A23" s="21" t="str">
        <x:v>重复证据</x:v>
      </x:c>
      <x:c r="B23" s="21" t="str">
        <x:v>同一商品被多个方法发现，不重复加分；同源工具不是独立证据</x:v>
      </x:c>
      <x:c r="C23" s="21"/>
      <x:c r="D23" s="21"/>
      <x:c r="E23" s="21"/>
      <x:c r="F23" s="21"/>
    </x:row>
    <x:row r="24" ht="50" customHeight="1">
      <x:c r="A24" s="21" t="str">
        <x:v>评分依据</x:v>
      </x:c>
      <x:c r="B24" s="21" t="str">
        <x:v>方法默认分为分析建议，非官方统计或成功率；资源未知暂中性3分</x:v>
      </x:c>
      <x:c r="C24" s="21"/>
      <x:c r="D24" s="21"/>
      <x:c r="E24" s="21"/>
      <x:c r="F24" s="21"/>
    </x:row>
    <x:row r="25" ht="50" customHeight="1">
      <x:c r="A25" s="21" t="str">
        <x:v>利润规则</x:v>
      </x:c>
      <x:c r="B25" s="21" t="str">
        <x:v>毛利率≥目标ACoS＋安全余量；默认30%＋5%=35%，完整成本净利润&gt;0</x:v>
      </x:c>
      <x:c r="C25" s="21"/>
      <x:c r="D25" s="21"/>
      <x:c r="E25" s="21"/>
      <x:c r="F25" s="21"/>
    </x:row>
    <x:row r="26" ht="30" customHeight="1">
      <x:c r="A26" s="21"/>
      <x:c r="B26" s="21"/>
      <x:c r="C26" s="21"/>
      <x:c r="D26" s="21"/>
      <x:c r="E26" s="21"/>
      <x:c r="F26" s="21"/>
    </x:row>
    <x:row r="27" ht="30" customHeight="1">
      <x:c r="A27" s="21" t="str">
        <x:v>来源</x:v>
      </x:c>
      <x:c r="B27" s="21" t="str">
        <x:v>“列举亚马逊选品方式”会话；工具官方资料核查2026-10-12</x:v>
      </x:c>
      <x:c r="C27" s="21"/>
      <x:c r="D27" s="21"/>
      <x:c r="E27" s="21"/>
      <x:c r="F27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7" hidden="0" customWidth="1"/>
    <x:col min="2" max="2" width="16" hidden="0" customWidth="1"/>
    <x:col min="3" max="3" width="48" hidden="0" customWidth="1"/>
    <x:col min="4" max="4" width="45" hidden="0" customWidth="1"/>
    <x:col min="5" max="5" width="38" hidden="0" customWidth="1"/>
    <x:col min="6" max="6" width="44" hidden="0" customWidth="1"/>
    <x:col min="7" max="7" width="44" hidden="0" customWidth="1"/>
    <x:col min="8" max="8" width="38" hidden="0" customWidth="1"/>
    <x:col min="9" max="9" width="13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7" hidden="0" customWidth="1"/>
    <x:col min="16" max="16" width="18" hidden="0" customWidth="1"/>
    <x:col min="17" max="17" width="50" hidden="0" customWidth="1"/>
    <x:col min="18" max="18" width="52" hidden="0" customWidth="1"/>
    <x:col min="19" max="19" width="17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30" customHeight="1">
      <x:c r="A2" s="3" t="str">
        <x:v>选品方法与工具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30" customHeight="1">
      <x:c r="A3" s="4" t="str">
        <x:v>九个发现渠道与六个补充视角；评分是可调整的研究优先级建议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3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</x:row>
    <x:row r="5" ht="42" customHeight="1">
      <x:c r="A5" s="18" t="str">
        <x:v>选品方法</x:v>
      </x:c>
      <x:c r="B5" s="19" t="str">
        <x:v>类型</x:v>
      </x:c>
      <x:c r="C5" s="19" t="str">
        <x:v>对应工具／渠道</x:v>
      </x:c>
      <x:c r="D5" s="19" t="str">
        <x:v>初筛动作</x:v>
      </x:c>
      <x:c r="E5" s="19" t="str">
        <x:v>优点</x:v>
      </x:c>
      <x:c r="F5" s="19" t="str">
        <x:v>缺点</x:v>
      </x:c>
      <x:c r="G5" s="19" t="str">
        <x:v>补验动作</x:v>
      </x:c>
      <x:c r="H5" s="19" t="str">
        <x:v>适用场景</x:v>
      </x:c>
      <x:c r="I5" s="19" t="str">
        <x:v>启用渠道</x:v>
      </x:c>
      <x:c r="J5" s="19" t="str">
        <x:v>需求证据分</x:v>
      </x:c>
      <x:c r="K5" s="19" t="str">
        <x:v>差异化分</x:v>
      </x:c>
      <x:c r="L5" s="19" t="str">
        <x:v>执行效率分</x:v>
      </x:c>
      <x:c r="M5" s="19" t="str">
        <x:v>资源匹配分</x:v>
      </x:c>
      <x:c r="N5" s="19" t="str">
        <x:v>获取成本分</x:v>
      </x:c>
      <x:c r="O5" s="19" t="str">
        <x:v>方法优先分</x:v>
      </x:c>
      <x:c r="P5" s="19" t="str">
        <x:v>建议投入权重</x:v>
      </x:c>
      <x:c r="Q5" s="19" t="str">
        <x:v>评分依据</x:v>
      </x:c>
      <x:c r="R5" s="19" t="str">
        <x:v>工具来源</x:v>
      </x:c>
      <x:c r="S5" s="20" t="str">
        <x:v>核查日期</x:v>
      </x:c>
    </x:row>
    <x:row r="6" ht="110" customHeight="1">
      <x:c r="A6" s="21" t="str">
        <x:v>榜单选品法</x:v>
      </x:c>
      <x:c r="B6" s="21" t="str">
        <x:v>发现渠道</x:v>
      </x:c>
      <x:c r="C6" s="21" t="str">
        <x:v>Amazon畅销／新品／心愿／飙升榜；Keepa</x:v>
      </x:c>
      <x:c r="D6" s="21" t="str">
        <x:v>进入细分类目，记录具体产品并回看历史价格</x:v>
      </x:c>
      <x:c r="E6" s="21" t="str">
        <x:v>站内线索直接、发现快</x:v>
      </x:c>
      <x:c r="F6" s="21" t="str">
        <x:v>榜单快照与短期促销可能误导，热门同款集中</x:v>
      </x:c>
      <x:c r="G6" s="21" t="str">
        <x:v>核查历史、目标关键词和新品表现</x:v>
      </x:c>
      <x:c r="H6" s="21" t="str">
        <x:v>无明确方向，建立类目认知</x:v>
      </x:c>
      <x:c r="I6" s="22" t="str">
        <x:v>是</x:v>
      </x:c>
      <x:c r="J6" s="22" t="n">
        <x:v>4</x:v>
      </x:c>
      <x:c r="K6" s="22" t="n">
        <x:v>2</x:v>
      </x:c>
      <x:c r="L6" s="22" t="n">
        <x:v>4</x:v>
      </x:c>
      <x:c r="M6" s="22" t="n">
        <x:v>3</x:v>
      </x:c>
      <x:c r="N6" s="22" t="n">
        <x:v>5</x:v>
      </x:c>
      <x:c r="O6" s="36" t="n">
        <x:f>IF(OR(COUNT(J6:N6)&lt;5,ABS(SUM('初筛规则'!$B$18:$F$18)-1)&gt;0.000001),"",SUMPRODUCT(J6:N6,'初筛规则'!$B$18:$F$18)*20)</x:f>
        <x:v>70</x:v>
      </x:c>
      <x:c r="P6" s="28" t="n">
        <x:f>IF(OR(I6&lt;&gt;"是",NOT(ISNUMBER(O6)),SUMIFS($O$6:$O$20,$I$6:$I$20,"是")=0),"",O6/SUMIFS($O$6:$O$20,$I$6:$I$20,"是"))</x:f>
        <x:v>0.11494252873563218</x:v>
      </x:c>
      <x:c r="Q6" s="21" t="str">
        <x:v>站内信号较直接；差异化弱，需另找购买理由</x:v>
      </x:c>
      <x:c r="R6" s="21" t="str">
        <x:v>https://sell.amazon.com/blog/amazon-best-sellers-rank
https://keepa.com/</x:v>
      </x:c>
      <x:c r="S6" s="24" t="d">
        <x:v>2026-10-12T00:00:00.000Z</x:v>
      </x:c>
    </x:row>
    <x:row r="7" ht="79.19999694824219" hidden="0" customHeight="1">
      <x:c r="A7" s="21" t="str">
        <x:v>软件选品法</x:v>
      </x:c>
      <x:c r="B7" s="21" t="str">
        <x:v>发现渠道</x:v>
      </x:c>
      <x:c r="C7" s="21" t="str">
        <x:v>Jungle Scout或卖家精灵；POE；Sorftime BSR（已有key）；无key用Flapen＋ASINSIGHT</x:v>
      </x:c>
      <x:c r="D7" s="21" t="str">
        <x:v>按站点、价格、尺寸等筛选后核查商品页，分开记录类目BSR与关键词样本</x:v>
      </x:c>
      <x:c r="E7" s="21" t="str">
        <x:v>批量效率高、可比较多个维度</x:v>
      </x:c>
      <x:c r="F7" s="21" t="str">
        <x:v>数据含估算；父子体口径和筛选同质化</x:v>
      </x:c>
      <x:c r="G7" s="21" t="str">
        <x:v>确认父体、来源日期，回到Amazon原页</x:v>
      </x:c>
      <x:c r="H7" s="21" t="str">
        <x:v>批量建立候选池</x:v>
      </x:c>
      <x:c r="I7" s="22" t="str">
        <x:v>是</x:v>
      </x:c>
      <x:c r="J7" s="22" t="n">
        <x:v>4</x:v>
      </x:c>
      <x:c r="K7" s="22" t="n">
        <x:v>2</x:v>
      </x:c>
      <x:c r="L7" s="22" t="n">
        <x:v>5</x:v>
      </x:c>
      <x:c r="M7" s="22" t="n">
        <x:v>3</x:v>
      </x:c>
      <x:c r="N7" s="22" t="n">
        <x:v>3</x:v>
      </x:c>
      <x:c r="O7" s="36" t="n">
        <x:f>IF(OR(COUNT(J7:N7)&lt;5,ABS(SUM('初筛规则'!$B$18:$F$18)-1)&gt;0.000001),"",SUMPRODUCT(J7:N7,'初筛规则'!$B$18:$F$18)*20)</x:f>
        <x:v>70</x:v>
      </x:c>
      <x:c r="P7" s="28" t="n">
        <x:f>IF(OR(I7&lt;&gt;"是",NOT(ISNUMBER(O7)),SUMIFS($O$6:$O$20,$I$6:$I$20,"是")=0),"",O7/SUMIFS($O$6:$O$20,$I$6:$I$20,"是"))</x:f>
        <x:v>0.11494252873563218</x:v>
      </x:c>
      <x:c r="Q7" s="21" t="str">
        <x:v>效率高但估算与同质化减分，付费权限待确认</x:v>
      </x:c>
      <x:c r="R7" s="21" t="str">
        <x:v>https://www.junglescout.com/features/product-database/
https://www.sellersprite.com/cn
https://sell.amazon.com/tools/product-opportunity-explorer
https://www.sorftime.com/en-US
https://flapen.com/research/us
https://www.asinsight.com/</x:v>
      </x:c>
      <x:c r="S7" s="24" t="d">
        <x:v>2026-10-12T00:00:00.000Z</x:v>
      </x:c>
    </x:row>
    <x:row r="8" ht="110" customHeight="1">
      <x:c r="A8" s="21" t="str">
        <x:v>国内电商选品法</x:v>
      </x:c>
      <x:c r="B8" s="21" t="str">
        <x:v>发现渠道</x:v>
      </x:c>
      <x:c r="C8" s="21" t="str">
        <x:v>淘宝、拼多多、1688；Amazon搜索</x:v>
      </x:c>
      <x:c r="D8" s="21" t="str">
        <x:v>发现结构和组合，用目标市场表达反向搜索</x:v>
      </x:c>
      <x:c r="E8" s="21" t="str">
        <x:v>形态丰富、供货和改款线索直接</x:v>
      </x:c>
      <x:c r="F8" s="21" t="str">
        <x:v>国内热销不证明海外需求，同款易比价</x:v>
      </x:c>
      <x:c r="G8" s="21" t="str">
        <x:v>补目标站点需求、规格和本地化证据</x:v>
      </x:c>
      <x:c r="H8" s="21" t="str">
        <x:v>找产品形态与供应线索</x:v>
      </x:c>
      <x:c r="I8" s="22" t="str">
        <x:v>是</x:v>
      </x:c>
      <x:c r="J8" s="22" t="n">
        <x:v>2</x:v>
      </x:c>
      <x:c r="K8" s="22" t="n">
        <x:v>3</x:v>
      </x:c>
      <x:c r="L8" s="22" t="n">
        <x:v>4</x:v>
      </x:c>
      <x:c r="M8" s="22" t="n">
        <x:v>3</x:v>
      </x:c>
      <x:c r="N8" s="22" t="n">
        <x:v>4</x:v>
      </x:c>
      <x:c r="O8" s="36" t="n">
        <x:f>IF(OR(COUNT(J8:N8)&lt;5,ABS(SUM('初筛规则'!$B$18:$F$18)-1)&gt;0.000001),"",SUMPRODUCT(J8:N8,'初筛规则'!$B$18:$F$18)*20)</x:f>
        <x:v>58.99999999999999</x:v>
      </x:c>
      <x:c r="P8" s="28" t="n">
        <x:f>IF(OR(I8&lt;&gt;"是",NOT(ISNUMBER(O8)),SUMIFS($O$6:$O$20,$I$6:$I$20,"是")=0),"",O8/SUMIFS($O$6:$O$20,$I$6:$I$20,"是"))</x:f>
        <x:v>0.09688013136288998</x:v>
      </x:c>
      <x:c r="Q8" s="21" t="str">
        <x:v>国内信号迁移风险高，发现效率较好</x:v>
      </x:c>
      <x:c r="R8" s="21" t="str">
        <x:v>https://www.1688.com/
https://sell.amazon.com/tools/product-opportunity-explorer</x:v>
      </x:c>
      <x:c r="S8" s="24" t="d">
        <x:v>2026-10-12T00:00:00.000Z</x:v>
      </x:c>
    </x:row>
    <x:row r="9" ht="92.4000015258789" hidden="0" customHeight="1">
      <x:c r="A9" s="21" t="str">
        <x:v>关键词选品法</x:v>
      </x:c>
      <x:c r="B9" s="21" t="str">
        <x:v>发现渠道</x:v>
      </x:c>
      <x:c r="C9" s="21" t="str">
        <x:v>卖家精灵／Jungle Scout Keyword Scout／ASINSIGHT；Google Trends／POE；Amazon广告后台建议竞价</x:v>
      </x:c>
      <x:c r="D9" s="21" t="str">
        <x:v>稳定、增长、长尾词分组，匹配买家意图</x:v>
      </x:c>
      <x:c r="E9" s="21" t="str">
        <x:v>从需求出发，易衔接场景和广告</x:v>
      </x:c>
      <x:c r="F9" s="21" t="str">
        <x:v>搜索不等于购买，品牌词和小基数增长误导</x:v>
      </x:c>
      <x:c r="G9" s="21" t="str">
        <x:v>核查绝对量、周期、相关性；后台记录匹配类型、建议区间及币种，结合CVR复核利润承受力</x:v>
      </x:c>
      <x:c r="H9" s="21" t="str">
        <x:v>有类目或目标人群，研究细分需求</x:v>
      </x:c>
      <x:c r="I9" s="22" t="str">
        <x:v>是</x:v>
      </x:c>
      <x:c r="J9" s="22" t="n">
        <x:v>5</x:v>
      </x:c>
      <x:c r="K9" s="22" t="n">
        <x:v>4</x:v>
      </x:c>
      <x:c r="L9" s="22" t="n">
        <x:v>4</x:v>
      </x:c>
      <x:c r="M9" s="22" t="n">
        <x:v>3</x:v>
      </x:c>
      <x:c r="N9" s="22" t="n">
        <x:v>4</x:v>
      </x:c>
      <x:c r="O9" s="36" t="n">
        <x:f>IF(OR(COUNT(J9:N9)&lt;5,ABS(SUM('初筛规则'!$B$18:$F$18)-1)&gt;0.000001),"",SUMPRODUCT(J9:N9,'初筛规则'!$B$18:$F$18)*20)</x:f>
        <x:v>85</x:v>
      </x:c>
      <x:c r="P9" s="28" t="n">
        <x:f>IF(OR(I9&lt;&gt;"是",NOT(ISNUMBER(O9)),SUMIFS($O$6:$O$20,$I$6:$I$20,"是")=0),"",O9/SUMIFS($O$6:$O$20,$I$6:$I$20,"是"))</x:f>
        <x:v>0.13957307060755336</x:v>
      </x:c>
      <x:c r="Q9" s="21" t="str">
        <x:v>需求与产品匹配较强，需过滤非购买意图</x:v>
      </x:c>
      <x:c r="R9" s="21" t="str">
        <x:v>https://cn.sellersprite.com/cn/help/market-selection-guide
https://support.junglescout.com/hc/en-us/articles/360008770253-Keyword-Scout
https://support.google.com/trends/answer/4365533?hl=zh-Hans
https://www.asinsight.com/
https://advertising.amazon.com/library/guides/targeting-with-sponsored-products/</x:v>
      </x:c>
      <x:c r="S9" s="24" t="d">
        <x:v>2026-10-12T00:00:00.000Z</x:v>
      </x:c>
    </x:row>
    <x:row r="10" ht="110" customHeight="1">
      <x:c r="A10" s="21" t="str">
        <x:v>前台自动索引选品法</x:v>
      </x:c>
      <x:c r="B10" s="21" t="str">
        <x:v>发现渠道</x:v>
      </x:c>
      <x:c r="C10" s="21" t="str">
        <x:v>Amazon搜索自动补全、类目导航、筛选属性、关联商品</x:v>
      </x:c>
      <x:c r="D10" s="21" t="str">
        <x:v>核心词逐层扩展人群、规格与关联配件</x:v>
      </x:c>
      <x:c r="E10" s="21" t="str">
        <x:v>成本低、贴近搜索用语、适合垂直扩品</x:v>
      </x:c>
      <x:c r="F10" s="21" t="str">
        <x:v>无绝对需求规模，地区及个性化有影响</x:v>
      </x:c>
      <x:c r="G10" s="21" t="str">
        <x:v>补关键词数据和重复出现的真实需求</x:v>
      </x:c>
      <x:c r="H10" s="21" t="str">
        <x:v>已有目标，垂直类目深挖</x:v>
      </x:c>
      <x:c r="I10" s="22" t="str">
        <x:v>是</x:v>
      </x:c>
      <x:c r="J10" s="22" t="n">
        <x:v>3</x:v>
      </x:c>
      <x:c r="K10" s="22" t="n">
        <x:v>3</x:v>
      </x:c>
      <x:c r="L10" s="22" t="n">
        <x:v>3</x:v>
      </x:c>
      <x:c r="M10" s="22" t="n">
        <x:v>3</x:v>
      </x:c>
      <x:c r="N10" s="22" t="n">
        <x:v>5</x:v>
      </x:c>
      <x:c r="O10" s="36" t="n">
        <x:f>IF(OR(COUNT(J10:N10)&lt;5,ABS(SUM('初筛规则'!$B$18:$F$18)-1)&gt;0.000001),"",SUMPRODUCT(J10:N10,'初筛规则'!$B$18:$F$18)*20)</x:f>
        <x:v>64</x:v>
      </x:c>
      <x:c r="P10" s="28" t="n">
        <x:f>IF(OR(I10&lt;&gt;"是",NOT(ISNUMBER(O10)),SUMIFS($O$6:$O$20,$I$6:$I$20,"是")=0),"",O10/SUMIFS($O$6:$O$20,$I$6:$I$20,"是"))</x:f>
        <x:v>0.10509031198686371</x:v>
      </x:c>
      <x:c r="Q10" s="21" t="str">
        <x:v>低获取成本；自动补全仅为线索</x:v>
      </x:c>
      <x:c r="R10" s="21" t="str">
        <x:v>https://www.amazon.com/
https://sell.amazon.com/tools/product-opportunity-explorer</x:v>
      </x:c>
      <x:c r="S10" s="24" t="d">
        <x:v>2026-10-12T00:00:00.000Z</x:v>
      </x:c>
    </x:row>
    <x:row r="11" ht="110" customHeight="1">
      <x:c r="A11" s="21" t="str">
        <x:v>产业链／产业带选品法</x:v>
      </x:c>
      <x:c r="B11" s="21" t="str">
        <x:v>发现渠道</x:v>
      </x:c>
      <x:c r="C11" s="21" t="str">
        <x:v>1688、行业协会、展会目录、工厂官网；Jungle Scout供应商工具可选</x:v>
      </x:c>
      <x:c r="D11" s="21" t="str">
        <x:v>从材料、工艺及成品对应海外场景</x:v>
      </x:c>
      <x:c r="E11" s="21" t="str">
        <x:v>有利于改款、品质、交期与供货能力</x:v>
      </x:c>
      <x:c r="F11" s="21" t="str">
        <x:v>拿货方便不代表需求成立，产业带同质化</x:v>
      </x:c>
      <x:c r="G11" s="21" t="str">
        <x:v>验证目标站点需求、MOQ和改款实现能力</x:v>
      </x:c>
      <x:c r="H11" s="21" t="str">
        <x:v>有产业资源或懂工艺</x:v>
      </x:c>
      <x:c r="I11" s="22" t="str">
        <x:v>是</x:v>
      </x:c>
      <x:c r="J11" s="22" t="n">
        <x:v>2</x:v>
      </x:c>
      <x:c r="K11" s="22" t="n">
        <x:v>4</x:v>
      </x:c>
      <x:c r="L11" s="22" t="n">
        <x:v>3</x:v>
      </x:c>
      <x:c r="M11" s="22" t="n">
        <x:v>3</x:v>
      </x:c>
      <x:c r="N11" s="22" t="n">
        <x:v>3</x:v>
      </x:c>
      <x:c r="O11" s="36" t="n">
        <x:f>IF(OR(COUNT(J11:N11)&lt;5,ABS(SUM('初筛规则'!$B$18:$F$18)-1)&gt;0.000001),"",SUMPRODUCT(J11:N11,'初筛规则'!$B$18:$F$18)*20)</x:f>
        <x:v>57.999999999999986</x:v>
      </x:c>
      <x:c r="P11" s="28" t="n">
        <x:f>IF(OR(I11&lt;&gt;"是",NOT(ISNUMBER(O11)),SUMIFS($O$6:$O$20,$I$6:$I$20,"是")=0),"",O11/SUMIFS($O$6:$O$20,$I$6:$I$20,"是"))</x:f>
        <x:v>0.09523809523809522</x:v>
      </x:c>
      <x:c r="Q11" s="21" t="str">
        <x:v>改款潜力强；用户资源未知暂中性3分</x:v>
      </x:c>
      <x:c r="R11" s="21" t="str">
        <x:v>https://www.1688.com/
https://www.alibaba.com/
https://www.junglescout.com/features/product-database/</x:v>
      </x:c>
      <x:c r="S11" s="24" t="d">
        <x:v>2026-10-12T00:00:00.000Z</x:v>
      </x:c>
    </x:row>
    <x:row r="12" ht="110" customHeight="1">
      <x:c r="A12" s="21" t="str">
        <x:v>优秀店铺选品法</x:v>
      </x:c>
      <x:c r="B12" s="21" t="str">
        <x:v>发现渠道</x:v>
      </x:c>
      <x:c r="C12" s="21" t="str">
        <x:v>Amazon卖家列表／品牌页；官方商标库；Keepa历史与网页推广查询</x:v>
      </x:c>
      <x:c r="D12" s="21" t="str">
        <x:v>比较能力相近店铺的新品、配件与产品组合</x:v>
      </x:c>
      <x:c r="E12" s="21" t="str">
        <x:v>参考具体、能理解扩品路径</x:v>
      </x:c>
      <x:c r="F12" s="21" t="str">
        <x:v>成功样本偏差，看不到广告及实际利润</x:v>
      </x:c>
      <x:c r="G12" s="21" t="str">
        <x:v>比较评价与星级、商标、公开地区、SKU、文案图片、站外链接；同时记录停滞款及切入点</x:v>
      </x:c>
      <x:c r="H12" s="21" t="str">
        <x:v>学习品类、找相邻产品</x:v>
      </x:c>
      <x:c r="I12" s="22" t="str">
        <x:v>是</x:v>
      </x:c>
      <x:c r="J12" s="22" t="n">
        <x:v>4</x:v>
      </x:c>
      <x:c r="K12" s="22" t="n">
        <x:v>3</x:v>
      </x:c>
      <x:c r="L12" s="22" t="n">
        <x:v>4</x:v>
      </x:c>
      <x:c r="M12" s="22" t="n">
        <x:v>3</x:v>
      </x:c>
      <x:c r="N12" s="22" t="n">
        <x:v>4</x:v>
      </x:c>
      <x:c r="O12" s="36" t="n">
        <x:f>IF(OR(COUNT(J12:N12)&lt;5,ABS(SUM('初筛规则'!$B$18:$F$18)-1)&gt;0.000001),"",SUMPRODUCT(J12:N12,'初筛规则'!$B$18:$F$18)*20)</x:f>
        <x:v>73</x:v>
      </x:c>
      <x:c r="P12" s="28" t="n">
        <x:f>IF(OR(I12&lt;&gt;"是",NOT(ISNUMBER(O12)),SUMIFS($O$6:$O$20,$I$6:$I$20,"是")=0),"",O12/SUMIFS($O$6:$O$20,$I$6:$I$20,"是"))</x:f>
        <x:v>0.11986863711001643</x:v>
      </x:c>
      <x:c r="Q12" s="21" t="str">
        <x:v>站内商品可核查；资源相近需用户确认</x:v>
      </x:c>
      <x:c r="R12" s="21" t="str">
        <x:v>https://sell.amazon.com/tools/product-opportunity-explorer
https://keepa.com/</x:v>
      </x:c>
      <x:c r="S12" s="24" t="d">
        <x:v>2026-10-12T00:00:00.000Z</x:v>
      </x:c>
    </x:row>
    <x:row r="13" ht="110" customHeight="1">
      <x:c r="A13" s="21" t="str">
        <x:v>社交媒体选品法</x:v>
      </x:c>
      <x:c r="B13" s="21" t="str">
        <x:v>发现渠道</x:v>
      </x:c>
      <x:c r="C13" s="21" t="str">
        <x:v>Facebook、TikTok、Instagram、YouTube、Reddit；TikTok Creative Center</x:v>
      </x:c>
      <x:c r="D13" s="21" t="str">
        <x:v>按国家、人群、场景记录问题与购买讨论</x:v>
      </x:c>
      <x:c r="E13" s="21" t="str">
        <x:v>善于发现新场景和未表达的痛点</x:v>
      </x:c>
      <x:c r="F13" s="21" t="str">
        <x:v>播放量非销量，赞助内容和算法有偏差</x:v>
      </x:c>
      <x:c r="G13" s="21" t="str">
        <x:v>多帖交叉核对，再查Amazon需求与关键词</x:v>
      </x:c>
      <x:c r="H13" s="21" t="str">
        <x:v>人群明确，寻找痛点与传播切入</x:v>
      </x:c>
      <x:c r="I13" s="22" t="str">
        <x:v>是</x:v>
      </x:c>
      <x:c r="J13" s="22" t="n">
        <x:v>2</x:v>
      </x:c>
      <x:c r="K13" s="22" t="n">
        <x:v>5</x:v>
      </x:c>
      <x:c r="L13" s="22" t="n">
        <x:v>3</x:v>
      </x:c>
      <x:c r="M13" s="22" t="n">
        <x:v>3</x:v>
      </x:c>
      <x:c r="N13" s="22" t="n">
        <x:v>4</x:v>
      </x:c>
      <x:c r="O13" s="36" t="n">
        <x:f>IF(OR(COUNT(J13:N13)&lt;5,ABS(SUM('初筛规则'!$B$18:$F$18)-1)&gt;0.000001),"",SUMPRODUCT(J13:N13,'初筛规则'!$B$18:$F$18)*20)</x:f>
        <x:v>64.99999999999999</x:v>
      </x:c>
      <x:c r="P13" s="28" t="n">
        <x:f>IF(OR(I13&lt;&gt;"是",NOT(ISNUMBER(O13)),SUMIFS($O$6:$O$20,$I$6:$I$20,"是")=0),"",O13/SUMIFS($O$6:$O$20,$I$6:$I$20,"是"))</x:f>
        <x:v>0.10673234811165844</x:v>
      </x:c>
      <x:c r="Q13" s="21" t="str">
        <x:v>差异化线索强；成交需求证据较弱</x:v>
      </x:c>
      <x:c r="R13" s="21" t="str">
        <x:v>https://ads.tiktok.com/resources/help/article/creative-center?redirected=2
https://sell.amazon.com/tools/product-opportunity-explorer</x:v>
      </x:c>
      <x:c r="S13" s="24" t="d">
        <x:v>2026-10-12T00:00:00.000Z</x:v>
      </x:c>
    </x:row>
    <x:row r="14" ht="110" customHeight="1">
      <x:c r="A14" s="21" t="str">
        <x:v>跨平台／跨市场法</x:v>
      </x:c>
      <x:c r="B14" s="21" t="str">
        <x:v>发现渠道</x:v>
      </x:c>
      <x:c r="C14" s="21" t="str">
        <x:v>其他Amazon站点、eBay、Etsy、Walmart、AliExpress；Google Trends</x:v>
      </x:c>
      <x:c r="D14" s="21" t="str">
        <x:v>记录原市场条件，检查目标站点产品缺口</x:v>
      </x:c>
      <x:c r="E14" s="21" t="str">
        <x:v>拓展来源，可借鉴成熟改良</x:v>
      </x:c>
      <x:c r="F14" s="21" t="str">
        <x:v>流量、文化、规格和购买习惯不可直接迁移</x:v>
      </x:c>
      <x:c r="G14" s="21" t="str">
        <x:v>目标市场需求与本地化规格交叉验证</x:v>
      </x:c>
      <x:c r="H14" s="21" t="str">
        <x:v>有类目经验或跨站点资源</x:v>
      </x:c>
      <x:c r="I14" s="22" t="str">
        <x:v>是</x:v>
      </x:c>
      <x:c r="J14" s="22" t="n">
        <x:v>3</x:v>
      </x:c>
      <x:c r="K14" s="22" t="n">
        <x:v>4</x:v>
      </x:c>
      <x:c r="L14" s="22" t="n">
        <x:v>3</x:v>
      </x:c>
      <x:c r="M14" s="22" t="n">
        <x:v>3</x:v>
      </x:c>
      <x:c r="N14" s="22" t="n">
        <x:v>3</x:v>
      </x:c>
      <x:c r="O14" s="36" t="n">
        <x:f>IF(OR(COUNT(J14:N14)&lt;5,ABS(SUM('初筛规则'!$B$18:$F$18)-1)&gt;0.000001),"",SUMPRODUCT(J14:N14,'初筛规则'!$B$18:$F$18)*20)</x:f>
        <x:v>65</x:v>
      </x:c>
      <x:c r="P14" s="28" t="n">
        <x:f>IF(OR(I14&lt;&gt;"是",NOT(ISNUMBER(O14)),SUMIFS($O$6:$O$20,$I$6:$I$20,"是")=0),"",O14/SUMIFS($O$6:$O$20,$I$6:$I$20,"是"))</x:f>
        <x:v>0.10673234811165845</x:v>
      </x:c>
      <x:c r="Q14" s="21" t="str">
        <x:v>潜在缺口较好，但跨市场验证成本高</x:v>
      </x:c>
      <x:c r="R14" s="21" t="str">
        <x:v>https://sell.amazon.com/tools/product-opportunity-explorer
https://support.google.com/trends/answer/4365533?hl=zh-Hans</x:v>
      </x:c>
      <x:c r="S14" s="24" t="d">
        <x:v>2026-10-12T00:00:00.000Z</x:v>
      </x:c>
    </x:row>
    <x:row r="15" ht="110" customHeight="1">
      <x:c r="A15" s="21" t="str">
        <x:v>差评痛点法</x:v>
      </x:c>
      <x:c r="B15" s="21" t="str">
        <x:v>补充视角</x:v>
      </x:c>
      <x:c r="C15" s="21" t="str">
        <x:v>Amazon1–3星评论、POE、卖家精灵评论分析；Excel</x:v>
      </x:c>
      <x:c r="D15" s="21" t="str">
        <x:v>归类重复问题，提出可验证的改良方案</x:v>
      </x:c>
      <x:c r="E15" s="21" t="str">
        <x:v>购买理由具体、可追溯到买家问题</x:v>
      </x:c>
      <x:c r="F15" s="21" t="str">
        <x:v>负面样本有偏差，解决成本可能过高</x:v>
      </x:c>
      <x:c r="G15" s="21" t="str">
        <x:v>区分质量、适配、场景与误用，验证增量成本</x:v>
      </x:c>
      <x:c r="H15" s="21" t="str">
        <x:v>融入所有渠道的候选验证</x:v>
      </x:c>
      <x:c r="I15" s="22" t="str">
        <x:v>否</x:v>
      </x:c>
      <x:c r="J15" s="22" t="n">
        <x:v>4</x:v>
      </x:c>
      <x:c r="K15" s="22" t="n">
        <x:v>5</x:v>
      </x:c>
      <x:c r="L15" s="22" t="n">
        <x:v>3</x:v>
      </x:c>
      <x:c r="M15" s="22" t="n">
        <x:v>3</x:v>
      </x:c>
      <x:c r="N15" s="22" t="n">
        <x:v>5</x:v>
      </x:c>
      <x:c r="O15" s="36" t="n">
        <x:f>IF(OR(COUNT(J15:N15)&lt;5,ABS(SUM('初筛规则'!$B$18:$F$18)-1)&gt;0.000001),"",SUMPRODUCT(J15:N15,'初筛规则'!$B$18:$F$18)*20)</x:f>
        <x:v>81</x:v>
      </x:c>
      <x:c r="P15" s="28" t="str">
        <x:f>IF(OR(I15&lt;&gt;"是",NOT(ISNUMBER(O15)),SUMIFS($O$6:$O$20,$I$6:$I$20,"是")=0),"",O15/SUMIFS($O$6:$O$20,$I$6:$I$20,"是"))</x:f>
      </x:c>
      <x:c r="Q15" s="21" t="str">
        <x:v>痛点与差异化强；不把少数评论当市场总需求</x:v>
      </x:c>
      <x:c r="R15" s="21" t="str">
        <x:v>https://sell.amazon.com/tools/product-opportunity-explorer
https://www.sellersprite.com/cn</x:v>
      </x:c>
      <x:c r="S15" s="24" t="d">
        <x:v>2026-10-12T00:00:00.000Z</x:v>
      </x:c>
    </x:row>
    <x:row r="16" ht="110" customHeight="1">
      <x:c r="A16" s="21" t="str">
        <x:v>细分人群／场景法</x:v>
      </x:c>
      <x:c r="B16" s="21" t="str">
        <x:v>补充视角</x:v>
      </x:c>
      <x:c r="C16" s="21" t="str">
        <x:v>Amazon搜索、关键词工具、Reddit／Facebook／YouTube</x:v>
      </x:c>
      <x:c r="D16" s="21" t="str">
        <x:v>定义谁在何时遇到什么问题，再查现有方案</x:v>
      </x:c>
      <x:c r="E16" s="21" t="str">
        <x:v>需求边界清楚，方便产品与文案统一</x:v>
      </x:c>
      <x:c r="F16" s="21" t="str">
        <x:v>场景过窄可能容量不足</x:v>
      </x:c>
      <x:c r="G16" s="21" t="str">
        <x:v>验证人群规模、需求持续性及购买意图</x:v>
      </x:c>
      <x:c r="H16" s="21" t="str">
        <x:v>融入关键词和社交研究</x:v>
      </x:c>
      <x:c r="I16" s="22" t="str">
        <x:v>否</x:v>
      </x:c>
      <x:c r="J16" s="22" t="n">
        <x:v>3</x:v>
      </x:c>
      <x:c r="K16" s="22" t="n">
        <x:v>5</x:v>
      </x:c>
      <x:c r="L16" s="22" t="n">
        <x:v>3</x:v>
      </x:c>
      <x:c r="M16" s="22" t="n">
        <x:v>3</x:v>
      </x:c>
      <x:c r="N16" s="22" t="n">
        <x:v>4</x:v>
      </x:c>
      <x:c r="O16" s="36" t="n">
        <x:f>IF(OR(COUNT(J16:N16)&lt;5,ABS(SUM('初筛规则'!$B$18:$F$18)-1)&gt;0.000001),"",SUMPRODUCT(J16:N16,'初筛规则'!$B$18:$F$18)*20)</x:f>
        <x:v>72</x:v>
      </x:c>
      <x:c r="P16" s="28" t="str">
        <x:f>IF(OR(I16&lt;&gt;"是",NOT(ISNUMBER(O16)),SUMIFS($O$6:$O$20,$I$6:$I$20,"是")=0),"",O16/SUMIFS($O$6:$O$20,$I$6:$I$20,"是"))</x:f>
      </x:c>
      <x:c r="Q16" s="21" t="str">
        <x:v>差异化清楚，市场规模仍需补证</x:v>
      </x:c>
      <x:c r="R16" s="21" t="str">
        <x:v>https://sell.amazon.com/tools/product-opportunity-explorer
https://support.junglescout.com/hc/en-us/articles/360008770253-Keyword-Scout</x:v>
      </x:c>
      <x:c r="S16" s="24" t="d">
        <x:v>2026-10-12T00:00:00.000Z</x:v>
      </x:c>
    </x:row>
    <x:row r="17" ht="110" customHeight="1">
      <x:c r="A17" s="21" t="str">
        <x:v>产品差异化法</x:v>
      </x:c>
      <x:c r="B17" s="21" t="str">
        <x:v>补充视角</x:v>
      </x:c>
      <x:c r="C17" s="21" t="str">
        <x:v>竞品页与差评、工厂打样、1688、POE；Excel</x:v>
      </x:c>
      <x:c r="D17" s="21" t="str">
        <x:v>围绕结构、材质、尺寸形成改善与验证计划</x:v>
      </x:c>
      <x:c r="E17" s="21" t="str">
        <x:v>减少同款比价，可持续迭代</x:v>
      </x:c>
      <x:c r="F17" s="21" t="str">
        <x:v>开发、质检、库存成本上升，改良未必被重视</x:v>
      </x:c>
      <x:c r="G17" s="21" t="str">
        <x:v>验证愿付价格和增量成本，复算利润</x:v>
      </x:c>
      <x:c r="H17" s="21" t="str">
        <x:v>融入候选的购买理由</x:v>
      </x:c>
      <x:c r="I17" s="22" t="str">
        <x:v>否</x:v>
      </x:c>
      <x:c r="J17" s="22" t="n">
        <x:v>3</x:v>
      </x:c>
      <x:c r="K17" s="22" t="n">
        <x:v>5</x:v>
      </x:c>
      <x:c r="L17" s="22" t="n">
        <x:v>2</x:v>
      </x:c>
      <x:c r="M17" s="22" t="n">
        <x:v>3</x:v>
      </x:c>
      <x:c r="N17" s="22" t="n">
        <x:v>3</x:v>
      </x:c>
      <x:c r="O17" s="36" t="n">
        <x:f>IF(OR(COUNT(J17:N17)&lt;5,ABS(SUM('初筛规则'!$B$18:$F$18)-1)&gt;0.000001),"",SUMPRODUCT(J17:N17,'初筛规则'!$B$18:$F$18)*20)</x:f>
        <x:v>66</x:v>
      </x:c>
      <x:c r="P17" s="28" t="str">
        <x:f>IF(OR(I17&lt;&gt;"是",NOT(ISNUMBER(O17)),SUMIFS($O$6:$O$20,$I$6:$I$20,"是")=0),"",O17/SUMIFS($O$6:$O$20,$I$6:$I$20,"是"))</x:f>
      </x:c>
      <x:c r="Q17" s="21" t="str">
        <x:v>创新空间强，开发效率和成本受限</x:v>
      </x:c>
      <x:c r="R17" s="21" t="str">
        <x:v>https://sell.amazon.com/tools/product-opportunity-explorer
https://www.sellersprite.com/cn</x:v>
      </x:c>
      <x:c r="S17" s="24" t="d">
        <x:v>2026-10-12T00:00:00.000Z</x:v>
      </x:c>
    </x:row>
    <x:row r="18" ht="110" customHeight="1">
      <x:c r="A18" s="21" t="str">
        <x:v>配件／组合选品法</x:v>
      </x:c>
      <x:c r="B18" s="21" t="str">
        <x:v>补充视角</x:v>
      </x:c>
      <x:c r="C18" s="21" t="str">
        <x:v>Amazon关联商品、自动补全、关键词工具、1688</x:v>
      </x:c>
      <x:c r="D18" s="21" t="str">
        <x:v>延伸替换、维护、收纳和任务套装</x:v>
      </x:c>
      <x:c r="E18" s="21" t="str">
        <x:v>发现相邻需求、提升使用完整性</x:v>
      </x:c>
      <x:c r="F18" s="21" t="str">
        <x:v>兼容退货、体积和组合成本上升</x:v>
      </x:c>
      <x:c r="G18" s="21" t="str">
        <x:v>核查适配对象、套装价值及包装费用</x:v>
      </x:c>
      <x:c r="H18" s="21" t="str">
        <x:v>垂直产品线延伸</x:v>
      </x:c>
      <x:c r="I18" s="22" t="str">
        <x:v>否</x:v>
      </x:c>
      <x:c r="J18" s="22" t="n">
        <x:v>3</x:v>
      </x:c>
      <x:c r="K18" s="22" t="n">
        <x:v>4</x:v>
      </x:c>
      <x:c r="L18" s="22" t="n">
        <x:v>3</x:v>
      </x:c>
      <x:c r="M18" s="22" t="n">
        <x:v>3</x:v>
      </x:c>
      <x:c r="N18" s="22" t="n">
        <x:v>4</x:v>
      </x:c>
      <x:c r="O18" s="36" t="n">
        <x:f>IF(OR(COUNT(J18:N18)&lt;5,ABS(SUM('初筛规则'!$B$18:$F$18)-1)&gt;0.000001),"",SUMPRODUCT(J18:N18,'初筛规则'!$B$18:$F$18)*20)</x:f>
        <x:v>67</x:v>
      </x:c>
      <x:c r="P18" s="28" t="str">
        <x:f>IF(OR(I18&lt;&gt;"是",NOT(ISNUMBER(O18)),SUMIFS($O$6:$O$20,$I$6:$I$20,"是")=0),"",O18/SUMIFS($O$6:$O$20,$I$6:$I$20,"是"))</x:f>
      </x:c>
      <x:c r="Q18" s="21" t="str">
        <x:v>相邻需求清楚，兼容性与组合利润需验证</x:v>
      </x:c>
      <x:c r="R18" s="21" t="str">
        <x:v>https://sell.amazon.com/tools/product-opportunity-explorer
https://support.junglescout.com/hc/en-us/articles/360008770253-Keyword-Scout</x:v>
      </x:c>
      <x:c r="S18" s="24" t="d">
        <x:v>2026-10-12T00:00:00.000Z</x:v>
      </x:c>
    </x:row>
    <x:row r="19" ht="110" customHeight="1">
      <x:c r="A19" s="21" t="str">
        <x:v>趋势与季节选品法</x:v>
      </x:c>
      <x:c r="B19" s="21" t="str">
        <x:v>补充视角</x:v>
      </x:c>
      <x:c r="C19" s="21" t="str">
        <x:v>Google Trends、Keepa、关键词历史、榜单、TikTok Creative Center</x:v>
      </x:c>
      <x:c r="D19" s="21" t="str">
        <x:v>记录变化与季节，比较备货到达时的窗口</x:v>
      </x:c>
      <x:c r="E19" s="21" t="str">
        <x:v>能识别变化与周期机会</x:v>
      </x:c>
      <x:c r="F19" s="21" t="str">
        <x:v>热点短暂、小基数增长、库存窗口风险</x:v>
      </x:c>
      <x:c r="G19" s="21" t="str">
        <x:v>核对历史周期及开发运输时间</x:v>
      </x:c>
      <x:c r="H19" s="21" t="str">
        <x:v>融入榜单、关键词和社交方法</x:v>
      </x:c>
      <x:c r="I19" s="22" t="str">
        <x:v>否</x:v>
      </x:c>
      <x:c r="J19" s="22" t="n">
        <x:v>3</x:v>
      </x:c>
      <x:c r="K19" s="22" t="n">
        <x:v>3</x:v>
      </x:c>
      <x:c r="L19" s="22" t="n">
        <x:v>4</x:v>
      </x:c>
      <x:c r="M19" s="22" t="n">
        <x:v>3</x:v>
      </x:c>
      <x:c r="N19" s="22" t="n">
        <x:v>4</x:v>
      </x:c>
      <x:c r="O19" s="36" t="n">
        <x:f>IF(OR(COUNT(J19:N19)&lt;5,ABS(SUM('初筛规则'!$B$18:$F$18)-1)&gt;0.000001),"",SUMPRODUCT(J19:N19,'初筛规则'!$B$18:$F$18)*20)</x:f>
        <x:v>65.99999999999999</x:v>
      </x:c>
      <x:c r="P19" s="28" t="str">
        <x:f>IF(OR(I19&lt;&gt;"是",NOT(ISNUMBER(O19)),SUMIFS($O$6:$O$20,$I$6:$I$20,"是")=0),"",O19/SUMIFS($O$6:$O$20,$I$6:$I$20,"是"))</x:f>
      </x:c>
      <x:c r="Q19" s="21" t="str">
        <x:v>趋势可观察，持续成交与时间窗口不确定</x:v>
      </x:c>
      <x:c r="R19" s="21" t="str">
        <x:v>https://support.google.com/trends/answer/4365533?hl=zh-Hans
https://keepa.com/
https://ads.tiktok.com/resources/help/article/creative-center?redirected=2</x:v>
      </x:c>
      <x:c r="S19" s="24" t="d">
        <x:v>2026-10-12T00:00:00.000Z</x:v>
      </x:c>
    </x:row>
    <x:row r="20" ht="118.80000305175781" hidden="0" customHeight="1">
      <x:c r="A20" s="21" t="str">
        <x:v>竞品分析法</x:v>
      </x:c>
      <x:c r="B20" s="21" t="str">
        <x:v>补充视角</x:v>
      </x:c>
      <x:c r="C20" s="21" t="str">
        <x:v>Sorftime BSR（已有key）；无key用Flapen＋ASINSIGHT；Amazon广告后台、店铺、Keepa与网页</x:v>
      </x:c>
      <x:c r="D20" s="21" t="str">
        <x:v>类目Top100／Top50、核心词竞价、店铺实力三层分析；另做关键词前20壁垒、SKU、新品与错配</x:v>
      </x:c>
      <x:c r="E20" s="21" t="str">
        <x:v>直接支持进入空间判断</x:v>
      </x:c>
      <x:c r="F20" s="21" t="str">
        <x:v>快照、父子体与垄断定义有差异；降级工具不一定覆盖所有指标，公开信息不含利润</x:v>
      </x:c>
      <x:c r="G20" s="21" t="str">
        <x:v>分别保存样本、阈值、seller ID去重与缺项；建议竞价不当实际CPC，历史变化不当站外推广证明</x:v>
      </x:c>
      <x:c r="H20" s="21" t="str">
        <x:v>贯穿全部方法的验证</x:v>
      </x:c>
      <x:c r="I20" s="22" t="str">
        <x:v>否</x:v>
      </x:c>
      <x:c r="J20" s="22" t="n">
        <x:v>4</x:v>
      </x:c>
      <x:c r="K20" s="22" t="n">
        <x:v>3</x:v>
      </x:c>
      <x:c r="L20" s="22" t="n">
        <x:v>3</x:v>
      </x:c>
      <x:c r="M20" s="22" t="n">
        <x:v>3</x:v>
      </x:c>
      <x:c r="N20" s="22" t="n">
        <x:v>4</x:v>
      </x:c>
      <x:c r="O20" s="36" t="n">
        <x:f>IF(OR(COUNT(J20:N20)&lt;5,ABS(SUM('初筛规则'!$B$18:$F$18)-1)&gt;0.000001),"",SUMPRODUCT(J20:N20,'初筛规则'!$B$18:$F$18)*20)</x:f>
        <x:v>69</x:v>
      </x:c>
      <x:c r="P20" s="28" t="str">
        <x:f>IF(OR(I20&lt;&gt;"是",NOT(ISNUMBER(O20)),SUMIFS($O$6:$O$20,$I$6:$I$20,"是")=0),"",O20/SUMIFS($O$6:$O$20,$I$6:$I$20,"是"))</x:f>
      </x:c>
      <x:c r="Q20" s="21" t="str">
        <x:v>站内证据较直接，需去重与口径校验</x:v>
      </x:c>
      <x:c r="R20" s="21" t="str">
        <x:v>https://sell.amazon.com/tools/product-opportunity-explorer
https://www.junglescout.com/features/product-database/
https://www.sellersprite.com/cn
https://www.sorftime.com/en-US
https://flapen.com/research/us
https://www.asinsight.com/
https://advertising.amazon.com/library/guides/targeting-with-sponsored-products/
https://keepa.com/</x:v>
      </x:c>
      <x:c r="S20" s="24" t="d">
        <x:v>2026-10-12T00:00:00.000Z</x:v>
      </x:c>
    </x:row>
  </x:sheetData>
  <x:dataValidations count="2">
    <x:dataValidation type="list" sqref="I6:I20">
      <x:formula1>"是,否"</x:formula1>
    </x:dataValidation>
    <x:dataValidation type="whole" operator="between" sqref="J6:N20">
      <x:formula1>1</x:formula1>
      <x:formula2>5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56c2398aa8a047f4"/>
  </x:tableParts>
</x:worksheet>
</file>

<file path=xl/worksheets/sheet7.xml><?xml version="1.0" encoding="utf-8"?>
<x:worksheet xmlns:x="http://schemas.openxmlformats.org/spreadsheetml/2006/main">
  <x:sheetPr>
    <x:tabColor rgb="FF537682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8" hidden="0" customWidth="1"/>
    <x:col min="2" max="2" width="27" hidden="0" customWidth="1"/>
    <x:col min="3" max="3" width="28" hidden="0" customWidth="1"/>
    <x:col min="4" max="4" width="31" hidden="0" customWidth="1"/>
    <x:col min="5" max="5" width="34" hidden="0" customWidth="1"/>
    <x:col min="6" max="6" width="14" hidden="0" customWidth="1"/>
    <x:col min="7" max="7" width="42" hidden="0" customWidth="1"/>
    <x:col min="8" max="8" width="52" hidden="0" customWidth="1"/>
    <x:col min="9" max="9" width="14" hidden="0" customWidth="1"/>
    <x:col min="10" max="10" width="42" hidden="0" customWidth="1"/>
    <x:col min="11" max="11" width="32" hidden="0" customWidth="1"/>
    <x:col min="12" max="12" width="48" hidden="0" customWidth="1"/>
    <x:col min="13" max="13" width="17" hidden="0" customWidth="1"/>
    <x:col min="14" max="14" width="14" hidden="0" customWidth="1"/>
    <x:col min="15" max="15" width="5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>
      <x:c r="A2" s="3" t="str">
        <x:v>类目、关键词与店铺竞争分析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>
      <x:c r="A3" s="2" t="str">
        <x:v>用户规则。阈值只产生单项信号；完整覆盖与口径核验后再综合判断。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>
      <x:c r="A4" s="2" t="str">
        <x:v>工具路径待记录；无Sorftime key时使用Flapen＋ASINSIGHT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 ht="42" customHeight="1">
      <x:c r="A5" s="18" t="str">
        <x:v>分析层级</x:v>
      </x:c>
      <x:c r="B5" s="19" t="str">
        <x:v>选品分析方法</x:v>
      </x:c>
      <x:c r="C5" s="19" t="str">
        <x:v>研究对象</x:v>
      </x:c>
      <x:c r="D5" s="19" t="str">
        <x:v>指标</x:v>
      </x:c>
      <x:c r="E5" s="19" t="str">
        <x:v>观察／数值</x:v>
      </x:c>
      <x:c r="F5" s="19" t="str">
        <x:v>单位</x:v>
      </x:c>
      <x:c r="G5" s="19" t="str">
        <x:v>样本范围</x:v>
      </x:c>
      <x:c r="H5" s="19" t="str">
        <x:v>统计定义</x:v>
      </x:c>
      <x:c r="I5" s="19" t="str">
        <x:v>数据覆盖</x:v>
      </x:c>
      <x:c r="J5" s="19" t="str">
        <x:v>判断规则</x:v>
      </x:c>
      <x:c r="K5" s="19" t="str">
        <x:v>信号／分析</x:v>
      </x:c>
      <x:c r="L5" s="19" t="str">
        <x:v>数据来源</x:v>
      </x:c>
      <x:c r="M5" s="19" t="str">
        <x:v>采集日期</x:v>
      </x:c>
      <x:c r="N5" s="19" t="str">
        <x:v>数据状态</x:v>
      </x:c>
      <x:c r="O5" s="20" t="str">
        <x:v>限制与缺口</x:v>
      </x:c>
    </x:row>
    <x:row r="6" ht="60" customHeight="1">
      <x:c r="A6" s="21" t="str">
        <x:v>类目</x:v>
      </x:c>
      <x:c r="B6" s="21" t="str">
        <x:v>方法一：BSR Top100</x:v>
      </x:c>
      <x:c r="C6" s="21"/>
      <x:c r="D6" s="21" t="str">
        <x:v>近3个月新品占比</x:v>
      </x:c>
      <x:c r="E6" s="27"/>
      <x:c r="F6" s="22" t="str">
        <x:v>比例</x:v>
      </x:c>
      <x:c r="G6" s="22"/>
      <x:c r="H6" s="22"/>
      <x:c r="I6" s="22" t="str">
        <x:v>未知</x:v>
      </x:c>
      <x:c r="J6" s="21" t="str">
        <x:v>≥10%：新手友好信号</x:v>
      </x:c>
      <x:c r="K6" s="21" t="str">
        <x:f>IF(OR(OR(C6="",F6="",AND(NOT(ISNUMBER(E6)),E6=""),G6="",H6="",I6&lt;&gt;"完整",L6="",NOT(ISNUMBER(M6)),AND(N6&lt;&gt;"实测",N6&lt;&gt;"估算")),NOT(ISNUMBER(E6)),E6&lt;0,E6&gt;1),"待验证",IF(E6&gt;=0.1,"达到新手友好信号","未达到此项规则"))</x:f>
        <x:v>待验证</x:v>
      </x:c>
      <x:c r="L6" s="22"/>
      <x:c r="M6" s="23"/>
      <x:c r="N6" s="22" t="str">
        <x:v>待采集</x:v>
      </x:c>
      <x:c r="O6" s="22" t="str">
        <x:v>待核验：完整Top100；日期覆盖100条；采集日前3个日历月，含边界</x:v>
      </x:c>
    </x:row>
    <x:row r="7" ht="60" customHeight="1">
      <x:c r="A7" s="21" t="str">
        <x:v>类目</x:v>
      </x:c>
      <x:c r="B7" s="21" t="str">
        <x:v>方法一：BSR Top100</x:v>
      </x:c>
      <x:c r="C7" s="21"/>
      <x:c r="D7" s="21" t="str">
        <x:v>近6个月新品占比</x:v>
      </x:c>
      <x:c r="E7" s="27"/>
      <x:c r="F7" s="22" t="str">
        <x:v>比例</x:v>
      </x:c>
      <x:c r="G7" s="22"/>
      <x:c r="H7" s="22"/>
      <x:c r="I7" s="22" t="str">
        <x:v>未知</x:v>
      </x:c>
      <x:c r="J7" s="21" t="str">
        <x:v>≥20%：新手友好信号</x:v>
      </x:c>
      <x:c r="K7" s="21" t="str">
        <x:f>IF(OR(OR(C7="",F7="",AND(NOT(ISNUMBER(E7)),E7=""),G7="",H7="",I7&lt;&gt;"完整",L7="",NOT(ISNUMBER(M7)),AND(N7&lt;&gt;"实测",N7&lt;&gt;"估算")),NOT(ISNUMBER(E7)),E7&lt;0,E7&gt;1),"待验证",IF(E7&gt;=0.2,"达到新手友好信号","未达到此项规则"))</x:f>
        <x:v>待验证</x:v>
      </x:c>
      <x:c r="L7" s="22"/>
      <x:c r="M7" s="23"/>
      <x:c r="N7" s="22" t="str">
        <x:v>待采集</x:v>
      </x:c>
      <x:c r="O7" s="22" t="str">
        <x:v>待核验：完整Top100；日期覆盖100条；采集日前6个日历月，含边界</x:v>
      </x:c>
    </x:row>
    <x:row r="8" ht="60" customHeight="1">
      <x:c r="A8" s="21" t="str">
        <x:v>类目</x:v>
      </x:c>
      <x:c r="B8" s="21" t="str">
        <x:v>方法一：BSR Top100</x:v>
      </x:c>
      <x:c r="C8" s="21"/>
      <x:c r="D8" s="21" t="str">
        <x:v>上架时间分布</x:v>
      </x:c>
      <x:c r="E8" s="22"/>
      <x:c r="F8" s="22" t="str">
        <x:v>观察</x:v>
      </x:c>
      <x:c r="G8" s="22"/>
      <x:c r="H8" s="22"/>
      <x:c r="I8" s="22" t="str">
        <x:v>未知</x:v>
      </x:c>
      <x:c r="J8" s="21" t="str">
        <x:v>新品占比越大，机会越多</x:v>
      </x:c>
      <x:c r="K8" s="21" t="str">
        <x:f>IF(OR(C8="",F8="",AND(NOT(ISNUMBER(E8)),E8=""),G8="",H8="",I8&lt;&gt;"完整",L8="",NOT(ISNUMBER(M8)),AND(N8&lt;&gt;"实测",N8&lt;&gt;"估算")),"待验证","待分析方向性证据")</x:f>
        <x:v>待验证</x:v>
      </x:c>
      <x:c r="L8" s="22"/>
      <x:c r="M8" s="23"/>
      <x:c r="N8" s="22" t="str">
        <x:v>待采集</x:v>
      </x:c>
      <x:c r="O8" s="22" t="str">
        <x:v>待核验：类目BSR Top100；3／6／12个月及更早；注明日期代理值</x:v>
      </x:c>
    </x:row>
    <x:row r="9" ht="60" customHeight="1">
      <x:c r="A9" s="21" t="str">
        <x:v>类目</x:v>
      </x:c>
      <x:c r="B9" s="21" t="str">
        <x:v>方法一：BSR Top100</x:v>
      </x:c>
      <x:c r="C9" s="21"/>
      <x:c r="D9" s="21" t="str">
        <x:v>评论时间分布</x:v>
      </x:c>
      <x:c r="E9" s="22"/>
      <x:c r="F9" s="22" t="str">
        <x:v>观察</x:v>
      </x:c>
      <x:c r="G9" s="22"/>
      <x:c r="H9" s="22"/>
      <x:c r="I9" s="22" t="str">
        <x:v>未知</x:v>
      </x:c>
      <x:c r="J9" s="21" t="str">
        <x:v>核实轴后解释左／右，轴未知则待验证</x:v>
      </x:c>
      <x:c r="K9" s="21" t="str">
        <x:f>IF(OR(C9="",F9="",AND(NOT(ISNUMBER(E9)),E9=""),G9="",H9="",I9&lt;&gt;"完整",L9="",NOT(ISNUMBER(M9)),AND(N9&lt;&gt;"实测",N9&lt;&gt;"估算")),"待验证","待分析方向性证据")</x:f>
        <x:v>待验证</x:v>
      </x:c>
      <x:c r="L9" s="22"/>
      <x:c r="M9" s="23"/>
      <x:c r="N9" s="22" t="str">
        <x:v>待采集</x:v>
      </x:c>
      <x:c r="O9" s="22" t="str">
        <x:v>待核验：类目BSR Top100；工具图表；注明横轴、时间方向、区间、统计对象</x:v>
      </x:c>
    </x:row>
    <x:row r="10" ht="60" customHeight="1">
      <x:c r="A10" s="21" t="str">
        <x:v>类目</x:v>
      </x:c>
      <x:c r="B10" s="21" t="str">
        <x:v>方法一：BSR Top100</x:v>
      </x:c>
      <x:c r="C10" s="21"/>
      <x:c r="D10" s="21" t="str">
        <x:v>评论数量分布</x:v>
      </x:c>
      <x:c r="E10" s="22"/>
      <x:c r="F10" s="22" t="str">
        <x:v>观察</x:v>
      </x:c>
      <x:c r="G10" s="22"/>
      <x:c r="H10" s="22"/>
      <x:c r="I10" s="22" t="str">
        <x:v>未知</x:v>
      </x:c>
      <x:c r="J10" s="21" t="str">
        <x:v>低评论区多竞争小，高评论区多竞争大</x:v>
      </x:c>
      <x:c r="K10" s="21" t="str">
        <x:f>IF(OR(C10="",F10="",AND(NOT(ISNUMBER(E10)),E10=""),G10="",H10="",I10&lt;&gt;"完整",L10="",NOT(ISNUMBER(M10)),AND(N10&lt;&gt;"实测",N10&lt;&gt;"估算")),"待验证","待分析方向性证据")</x:f>
        <x:v>待验证</x:v>
      </x:c>
      <x:c r="L10" s="22"/>
      <x:c r="M10" s="23"/>
      <x:c r="N10" s="22" t="str">
        <x:v>待采集</x:v>
      </x:c>
      <x:c r="O10" s="22" t="str">
        <x:v>待核验：类目BSR Top100；从低到高的分桶与各桶数量</x:v>
      </x:c>
    </x:row>
    <x:row r="11" ht="60" customHeight="1">
      <x:c r="A11" s="21" t="str">
        <x:v>类目</x:v>
      </x:c>
      <x:c r="B11" s="21" t="str">
        <x:v>方法一：BSR Top100</x:v>
      </x:c>
      <x:c r="C11" s="21"/>
      <x:c r="D11" s="21" t="str">
        <x:v>品牌垄断程度</x:v>
      </x:c>
      <x:c r="E11" s="27"/>
      <x:c r="F11" s="22" t="str">
        <x:v>比例</x:v>
      </x:c>
      <x:c r="G11" s="22"/>
      <x:c r="H11" s="22"/>
      <x:c r="I11" s="22" t="str">
        <x:v>未知</x:v>
      </x:c>
      <x:c r="J11" s="21" t="str">
        <x:v>&lt;45%：可接受</x:v>
      </x:c>
      <x:c r="K11" s="21" t="str">
        <x:f>IF(OR(OR(C11="",F11="",AND(NOT(ISNUMBER(E11)),E11=""),G11="",H11="",I11&lt;&gt;"完整",L11="",NOT(ISNUMBER(M11)),AND(N11&lt;&gt;"实测",N11&lt;&gt;"估算")),NOT(ISNUMBER(E11)),E11&lt;0,E11&gt;1),"待验证",IF(E11&lt;0.45,"可接受","未达到此项规则"))</x:f>
        <x:v>待验证</x:v>
      </x:c>
      <x:c r="L11" s="22"/>
      <x:c r="M11" s="23"/>
      <x:c r="N11" s="22" t="str">
        <x:v>待采集</x:v>
      </x:c>
      <x:c r="O11" s="22" t="str">
        <x:v>待核验：同站点同类目；工具原范围；填写品牌聚合范围、分子、分母及周期</x:v>
      </x:c>
    </x:row>
    <x:row r="12" ht="60" customHeight="1">
      <x:c r="A12" s="21" t="str">
        <x:v>类目</x:v>
      </x:c>
      <x:c r="B12" s="21" t="str">
        <x:v>方法一：BSR Top100</x:v>
      </x:c>
      <x:c r="C12" s="21"/>
      <x:c r="D12" s="21" t="str">
        <x:v>店铺垄断程度</x:v>
      </x:c>
      <x:c r="E12" s="27"/>
      <x:c r="F12" s="22" t="str">
        <x:v>比例</x:v>
      </x:c>
      <x:c r="G12" s="22"/>
      <x:c r="H12" s="22"/>
      <x:c r="I12" s="22" t="str">
        <x:v>未知</x:v>
      </x:c>
      <x:c r="J12" s="21" t="str">
        <x:v>&lt;45%：可接受</x:v>
      </x:c>
      <x:c r="K12" s="21" t="str">
        <x:f>IF(OR(OR(C12="",F12="",AND(NOT(ISNUMBER(E12)),E12=""),G12="",H12="",I12&lt;&gt;"完整",L12="",NOT(ISNUMBER(M12)),AND(N12&lt;&gt;"实测",N12&lt;&gt;"估算")),NOT(ISNUMBER(E12)),E12&lt;0,E12&gt;1),"待验证",IF(E12&lt;0.45,"可接受","未达到此项规则"))</x:f>
        <x:v>待验证</x:v>
      </x:c>
      <x:c r="L12" s="22"/>
      <x:c r="M12" s="23"/>
      <x:c r="N12" s="22" t="str">
        <x:v>待采集</x:v>
      </x:c>
      <x:c r="O12" s="22" t="str">
        <x:v>待核验：同站点同类目；工具原范围；填写seller ID聚合范围、分子、分母及周期</x:v>
      </x:c>
    </x:row>
    <x:row r="13" ht="60" customHeight="1">
      <x:c r="A13" s="21" t="str">
        <x:v>类目</x:v>
      </x:c>
      <x:c r="B13" s="21" t="str">
        <x:v>方法一：BSR Top100</x:v>
      </x:c>
      <x:c r="C13" s="21"/>
      <x:c r="D13" s="21" t="str">
        <x:v>Amazon自营占比</x:v>
      </x:c>
      <x:c r="E13" s="27"/>
      <x:c r="F13" s="22" t="str">
        <x:v>比例</x:v>
      </x:c>
      <x:c r="G13" s="22"/>
      <x:c r="H13" s="22"/>
      <x:c r="I13" s="22" t="str">
        <x:v>未知</x:v>
      </x:c>
      <x:c r="J13" s="21" t="str">
        <x:v>&lt;19%：有利信号</x:v>
      </x:c>
      <x:c r="K13" s="21" t="str">
        <x:f>IF(OR(OR(C13="",F13="",AND(NOT(ISNUMBER(E13)),E13=""),G13="",H13="",I13&lt;&gt;"完整",L13="",NOT(ISNUMBER(M13)),AND(N13&lt;&gt;"实测",N13&lt;&gt;"估算")),NOT(ISNUMBER(E13)),E13&lt;0,E13&gt;1),"待验证",IF(E13&lt;0.19,"有利信号","未达到此项规则"))</x:f>
        <x:v>待验证</x:v>
      </x:c>
      <x:c r="L13" s="22"/>
      <x:c r="M13" s="23"/>
      <x:c r="N13" s="22" t="str">
        <x:v>待采集</x:v>
      </x:c>
      <x:c r="O13" s="22" t="str">
        <x:v>待核验：类目BSR Top100；按实际销售方识别；FBA不等于自营</x:v>
      </x:c>
    </x:row>
    <x:row r="14" ht="60" customHeight="1">
      <x:c r="A14" s="21" t="str">
        <x:v>类目</x:v>
      </x:c>
      <x:c r="B14" s="21" t="str">
        <x:v>方法一：BSR Top100</x:v>
      </x:c>
      <x:c r="C14" s="21"/>
      <x:c r="D14" s="21" t="str">
        <x:v>FBM占比</x:v>
      </x:c>
      <x:c r="E14" s="27"/>
      <x:c r="F14" s="22" t="str">
        <x:v>比例</x:v>
      </x:c>
      <x:c r="G14" s="22"/>
      <x:c r="H14" s="22"/>
      <x:c r="I14" s="22" t="str">
        <x:v>未知</x:v>
      </x:c>
      <x:c r="J14" s="21" t="str">
        <x:v>越高越有利，无固定通过线</x:v>
      </x:c>
      <x:c r="K14" s="21" t="str">
        <x:f>IF(OR(C14="",F14="",AND(NOT(ISNUMBER(E14)),E14=""),G14="",H14="",I14&lt;&gt;"完整",L14="",NOT(ISNUMBER(M14)),AND(N14&lt;&gt;"实测",N14&lt;&gt;"估算")),"待验证","待分析方向性证据")</x:f>
        <x:v>待验证</x:v>
      </x:c>
      <x:c r="L14" s="22"/>
      <x:c r="M14" s="23"/>
      <x:c r="N14" s="22" t="str">
        <x:v>待采集</x:v>
      </x:c>
      <x:c r="O14" s="22" t="str">
        <x:v>待核验：类目BSR Top100；采集时代表卖家履约方式；注明比较基准</x:v>
      </x:c>
    </x:row>
    <x:row r="15" ht="60" customHeight="1">
      <x:c r="A15" s="21" t="str">
        <x:v>类目</x:v>
      </x:c>
      <x:c r="B15" s="21" t="str">
        <x:v>方法一：BSR Top100</x:v>
      </x:c>
      <x:c r="C15" s="21"/>
      <x:c r="D15" s="21" t="str">
        <x:v>A+视频占比</x:v>
      </x:c>
      <x:c r="E15" s="27"/>
      <x:c r="F15" s="22" t="str">
        <x:v>比例</x:v>
      </x:c>
      <x:c r="G15" s="22"/>
      <x:c r="H15" s="22"/>
      <x:c r="I15" s="22" t="str">
        <x:v>未知</x:v>
      </x:c>
      <x:c r="J15" s="21" t="str">
        <x:v>越少越有利，无固定通过线</x:v>
      </x:c>
      <x:c r="K15" s="21" t="str">
        <x:f>IF(OR(C15="",F15="",AND(NOT(ISNUMBER(E15)),E15=""),G15="",H15="",I15&lt;&gt;"完整",L15="",NOT(ISNUMBER(M15)),AND(N15&lt;&gt;"实测",N15&lt;&gt;"估算")),"待验证","待分析方向性证据")</x:f>
        <x:v>待验证</x:v>
      </x:c>
      <x:c r="L15" s="22"/>
      <x:c r="M15" s="23"/>
      <x:c r="N15" s="22" t="str">
        <x:v>待采集</x:v>
      </x:c>
      <x:c r="O15" s="22" t="str">
        <x:v>待核验：类目BSR Top100；注明原定义；A+、视频、两者同时分别记录</x:v>
      </x:c>
    </x:row>
    <x:row r="16" ht="60" customHeight="1">
      <x:c r="A16" s="21" t="str">
        <x:v>类目</x:v>
      </x:c>
      <x:c r="B16" s="21" t="str">
        <x:v>方法一：BSR Top100</x:v>
      </x:c>
      <x:c r="C16" s="21"/>
      <x:c r="D16" s="21" t="str">
        <x:v>整体商品星级</x:v>
      </x:c>
      <x:c r="E16" s="50"/>
      <x:c r="F16" s="22" t="str">
        <x:v>星</x:v>
      </x:c>
      <x:c r="G16" s="22"/>
      <x:c r="H16" s="22"/>
      <x:c r="I16" s="22" t="str">
        <x:v>未知</x:v>
      </x:c>
      <x:c r="J16" s="21" t="str">
        <x:v>越低越有改善机会，结合差评可解决性</x:v>
      </x:c>
      <x:c r="K16" s="21" t="str">
        <x:f>IF(OR(C16="",F16="",AND(NOT(ISNUMBER(E16)),E16=""),G16="",H16="",I16&lt;&gt;"完整",L16="",NOT(ISNUMBER(M16)),AND(N16&lt;&gt;"实测",N16&lt;&gt;"估算")),"待验证","待分析方向性证据")</x:f>
        <x:v>待验证</x:v>
      </x:c>
      <x:c r="L16" s="22"/>
      <x:c r="M16" s="23"/>
      <x:c r="N16" s="22" t="str">
        <x:v>待采集</x:v>
      </x:c>
      <x:c r="O16" s="22" t="str">
        <x:v>待核验：类目BSR Top100；简单平均或销量加权；注明有效数量</x:v>
      </x:c>
    </x:row>
    <x:row r="17" ht="60" customHeight="1">
      <x:c r="A17" s="21" t="str">
        <x:v>类目</x:v>
      </x:c>
      <x:c r="B17" s="21" t="str">
        <x:v>方法二：BSR Top50</x:v>
      </x:c>
      <x:c r="C17" s="21"/>
      <x:c r="D17" s="21" t="str">
        <x:v>评价数&lt;1000的去重卖家数</x:v>
      </x:c>
      <x:c r="E17" s="22"/>
      <x:c r="F17" s="22" t="str">
        <x:v>家</x:v>
      </x:c>
      <x:c r="G17" s="22"/>
      <x:c r="H17" s="22"/>
      <x:c r="I17" s="22" t="str">
        <x:v>未知</x:v>
      </x:c>
      <x:c r="J17" s="21" t="str">
        <x:v>&gt;20家：新手友好信号</x:v>
      </x:c>
      <x:c r="K17" s="21" t="str">
        <x:f>IF(OR(OR(C17="",F17="",AND(NOT(ISNUMBER(E17)),E17=""),G17="",H17="",I17&lt;&gt;"完整",L17="",NOT(ISNUMBER(M17)),AND(N17&lt;&gt;"实测",N17&lt;&gt;"估算")),NOT(ISNUMBER(E17)),E17&lt;0,E17&gt;50),"待验证",IF(E17&gt;20,"达到新手友好信号","未达到此项规则"))</x:f>
        <x:v>待验证</x:v>
      </x:c>
      <x:c r="L17" s="22"/>
      <x:c r="M17" s="23"/>
      <x:c r="N17" s="22" t="str">
        <x:v>待采集</x:v>
      </x:c>
      <x:c r="O17" s="22" t="str">
        <x:v>待核验：完整类目BSR Top50；seller ID去重；一个卖家最多计一次</x:v>
      </x:c>
    </x:row>
    <x:row r="18" ht="60" customHeight="1">
      <x:c r="A18" s="21" t="str">
        <x:v>核心关键词</x:v>
      </x:c>
      <x:c r="B18" s="21" t="str">
        <x:v>Amazon广告后台</x:v>
      </x:c>
      <x:c r="C18" s="21"/>
      <x:c r="D18" s="21" t="str">
        <x:v>关键词建议竞价／实际CPC</x:v>
      </x:c>
      <x:c r="E18" s="22"/>
      <x:c r="F18" s="22"/>
      <x:c r="G18" s="22"/>
      <x:c r="H18" s="22"/>
      <x:c r="I18" s="22" t="str">
        <x:v>未知</x:v>
      </x:c>
      <x:c r="J18" s="21" t="str">
        <x:v>比较竞价压力，再结合CVR核验利润</x:v>
      </x:c>
      <x:c r="K18" s="21" t="str">
        <x:f>IF(OR(C18="",F18="",AND(NOT(ISNUMBER(E18)),E18=""),G18="",H18="",I18&lt;&gt;"完整",L18="",NOT(ISNUMBER(M18)),AND(N18&lt;&gt;"实测",N18&lt;&gt;"估算")),"待验证","待分析方向性证据")</x:f>
        <x:v>待验证</x:v>
      </x:c>
      <x:c r="L18" s="22"/>
      <x:c r="M18" s="23"/>
      <x:c r="N18" s="22" t="str">
        <x:v>待采集</x:v>
      </x:c>
      <x:c r="O18" s="22" t="str">
        <x:v>待核验：同站点、同广告与匹配类型；词、建议区间或实际周期；币种和归因口径</x:v>
      </x:c>
    </x:row>
    <x:row r="19" ht="60" customHeight="1">
      <x:c r="A19" s="21" t="str">
        <x:v>产品／店铺</x:v>
      </x:c>
      <x:c r="B19" s="21" t="str">
        <x:v>商品页、卖家页</x:v>
      </x:c>
      <x:c r="C19" s="21"/>
      <x:c r="D19" s="21" t="str">
        <x:v>评论数量与星级</x:v>
      </x:c>
      <x:c r="E19" s="22"/>
      <x:c r="F19" s="22" t="str">
        <x:v>观察</x:v>
      </x:c>
      <x:c r="G19" s="22"/>
      <x:c r="H19" s="22"/>
      <x:c r="I19" s="22" t="str">
        <x:v>未知</x:v>
      </x:c>
      <x:c r="J19" s="21" t="str">
        <x:v>结合积累、增长、星级与重复差评</x:v>
      </x:c>
      <x:c r="K19" s="21" t="str">
        <x:f>IF(OR(C19="",F19="",AND(NOT(ISNUMBER(E19)),E19=""),G19="",H19="",I19&lt;&gt;"完整",L19="",NOT(ISNUMBER(M19)),AND(N19&lt;&gt;"实测",N19&lt;&gt;"估算")),"待验证","待分析方向性证据")</x:f>
        <x:v>待验证</x:v>
      </x:c>
      <x:c r="L19" s="22"/>
      <x:c r="M19" s="23"/>
      <x:c r="N19" s="22" t="str">
        <x:v>待采集</x:v>
      </x:c>
      <x:c r="O19" s="22" t="str">
        <x:v>待核验：代表竞品及同店产品；商品评价与店铺feedback分别记录</x:v>
      </x:c>
    </x:row>
    <x:row r="20" ht="60" customHeight="1">
      <x:c r="A20" s="21" t="str">
        <x:v>产品／店铺</x:v>
      </x:c>
      <x:c r="B20" s="21" t="str">
        <x:v>官方商标数据库、品牌页</x:v>
      </x:c>
      <x:c r="C20" s="21"/>
      <x:c r="D20" s="21" t="str">
        <x:v>品牌商标</x:v>
      </x:c>
      <x:c r="E20" s="22"/>
      <x:c r="F20" s="22" t="str">
        <x:v>观察</x:v>
      </x:c>
      <x:c r="G20" s="22"/>
      <x:c r="H20" s="22"/>
      <x:c r="I20" s="22" t="str">
        <x:v>未知</x:v>
      </x:c>
      <x:c r="J20" s="21" t="str">
        <x:v>判断品牌资源；A+不证明商标注册</x:v>
      </x:c>
      <x:c r="K20" s="21" t="str">
        <x:f>IF(OR(C20="",F20="",AND(NOT(ISNUMBER(E20)),E20=""),G20="",H20="",I20&lt;&gt;"完整",L20="",NOT(ISNUMBER(M20)),AND(N20&lt;&gt;"实测",N20&lt;&gt;"估算")),"待验证","待分析方向性证据")</x:f>
        <x:v>待验证</x:v>
      </x:c>
      <x:c r="L20" s="22"/>
      <x:c r="M20" s="23"/>
      <x:c r="N20" s="22" t="str">
        <x:v>待采集</x:v>
      </x:c>
      <x:c r="O20" s="22" t="str">
        <x:v>待核验：目标销售国家、品牌主体；权利人、状态、类目、查询来源</x:v>
      </x:c>
    </x:row>
    <x:row r="21" ht="60" customHeight="1">
      <x:c r="A21" s="21" t="str">
        <x:v>产品／店铺</x:v>
      </x:c>
      <x:c r="B21" s="21" t="str">
        <x:v>卖家公开公司信息</x:v>
      </x:c>
      <x:c r="C21" s="21"/>
      <x:c r="D21" s="21" t="str">
        <x:v>国家与地区</x:v>
      </x:c>
      <x:c r="E21" s="22"/>
      <x:c r="F21" s="22" t="str">
        <x:v>观察</x:v>
      </x:c>
      <x:c r="G21" s="22"/>
      <x:c r="H21" s="22"/>
      <x:c r="I21" s="22" t="str">
        <x:v>未知</x:v>
      </x:c>
      <x:c r="J21" s="21" t="str">
        <x:v>作为店铺证据，不单凭地区推断实力</x:v>
      </x:c>
      <x:c r="K21" s="21" t="str">
        <x:f>IF(OR(C21="",F21="",AND(NOT(ISNUMBER(E21)),E21=""),G21="",H21="",I21&lt;&gt;"完整",L21="",NOT(ISNUMBER(M21)),AND(N21&lt;&gt;"实测",N21&lt;&gt;"估算")),"待验证","待分析方向性证据")</x:f>
        <x:v>待验证</x:v>
      </x:c>
      <x:c r="L21" s="22"/>
      <x:c r="M21" s="23"/>
      <x:c r="N21" s="22" t="str">
        <x:v>待采集</x:v>
      </x:c>
      <x:c r="O21" s="22" t="str">
        <x:v>待核验：实际seller ID对应公司主体；公开主体、国家、地区与来源</x:v>
      </x:c>
    </x:row>
    <x:row r="22" ht="60" customHeight="1">
      <x:c r="A22" s="21" t="str">
        <x:v>产品／店铺</x:v>
      </x:c>
      <x:c r="B22" s="21" t="str">
        <x:v>卖家列表、品牌店铺</x:v>
      </x:c>
      <x:c r="C22" s="21"/>
      <x:c r="D22" s="21" t="str">
        <x:v>产品列表与SKU策略</x:v>
      </x:c>
      <x:c r="E22" s="22"/>
      <x:c r="F22" s="22" t="str">
        <x:v>观察</x:v>
      </x:c>
      <x:c r="G22" s="22"/>
      <x:c r="H22" s="22"/>
      <x:c r="I22" s="22" t="str">
        <x:v>未知</x:v>
      </x:c>
      <x:c r="J22" s="21" t="str">
        <x:v>识别覆盖强度与可切入空间</x:v>
      </x:c>
      <x:c r="K22" s="21" t="str">
        <x:f>IF(OR(C22="",F22="",AND(NOT(ISNUMBER(E22)),E22=""),G22="",H22="",I22&lt;&gt;"完整",L22="",NOT(ISNUMBER(M22)),AND(N22&lt;&gt;"实测",N22&lt;&gt;"估算")),"待验证","待分析方向性证据")</x:f>
        <x:v>待验证</x:v>
      </x:c>
      <x:c r="L22" s="22"/>
      <x:c r="M22" s="23"/>
      <x:c r="N22" s="22" t="str">
        <x:v>待采集</x:v>
      </x:c>
      <x:c r="O22" s="22" t="str">
        <x:v>待核验：所查店铺及在售列表；SKU数、类目集中、系列与新品；注明范围</x:v>
      </x:c>
    </x:row>
    <x:row r="23" ht="60" customHeight="1">
      <x:c r="A23" s="21" t="str">
        <x:v>产品／店铺</x:v>
      </x:c>
      <x:c r="B23" s="21" t="str">
        <x:v>商品详情页</x:v>
      </x:c>
      <x:c r="C23" s="21"/>
      <x:c r="D23" s="21" t="str">
        <x:v>文案、图片、A+与视频</x:v>
      </x:c>
      <x:c r="E23" s="22"/>
      <x:c r="F23" s="22" t="str">
        <x:v>观察</x:v>
      </x:c>
      <x:c r="G23" s="22"/>
      <x:c r="H23" s="22"/>
      <x:c r="I23" s="22" t="str">
        <x:v>未知</x:v>
      </x:c>
      <x:c r="J23" s="21" t="str">
        <x:v>指出可见差距与实现成本</x:v>
      </x:c>
      <x:c r="K23" s="21" t="str">
        <x:f>IF(OR(C23="",F23="",AND(NOT(ISNUMBER(E23)),E23=""),G23="",H23="",I23&lt;&gt;"完整",L23="",NOT(ISNUMBER(M23)),AND(N23&lt;&gt;"实测",N23&lt;&gt;"估算")),"待验证","待分析方向性证据")</x:f>
        <x:v>待验证</x:v>
      </x:c>
      <x:c r="L23" s="22"/>
      <x:c r="M23" s="23"/>
      <x:c r="N23" s="22" t="str">
        <x:v>待采集</x:v>
      </x:c>
      <x:c r="O23" s="22" t="str">
        <x:v>待核验：代表竞品及对应版本；本地化、卖点、适配、实拍、场景与内容</x:v>
      </x:c>
    </x:row>
    <x:row r="24" ht="60" customHeight="1">
      <x:c r="A24" s="21" t="str">
        <x:v>产品／店铺</x:v>
      </x:c>
      <x:c r="B24" s="21" t="str">
        <x:v>Keepa辅助、网页核查</x:v>
      </x:c>
      <x:c r="C24" s="21"/>
      <x:c r="D24" s="21" t="str">
        <x:v>站外推广</x:v>
      </x:c>
      <x:c r="E24" s="22"/>
      <x:c r="F24" s="22" t="str">
        <x:v>观察</x:v>
      </x:c>
      <x:c r="G24" s="22"/>
      <x:c r="H24" s="22"/>
      <x:c r="I24" s="22" t="str">
        <x:v>未知</x:v>
      </x:c>
      <x:c r="J24" s="21" t="str">
        <x:v>历史变化不证明站外；查不到不等于没有</x:v>
      </x:c>
      <x:c r="K24" s="21" t="str">
        <x:f>IF(OR(C24="",F24="",AND(NOT(ISNUMBER(E24)),E24=""),G24="",H24="",I24&lt;&gt;"完整",L24="",NOT(ISNUMBER(M24)),AND(N24&lt;&gt;"实测",N24&lt;&gt;"估算")),"待验证","待分析方向性证据")</x:f>
        <x:v>待验证</x:v>
      </x:c>
      <x:c r="L24" s="22"/>
      <x:c r="M24" s="23"/>
      <x:c r="N24" s="22" t="str">
        <x:v>待采集</x:v>
      </x:c>
      <x:c r="O24" s="22" t="str">
        <x:v>待核验：ASIN／品牌／产品名搜索；Keepa变化时间、搜索式、渠道、推广链接与类型</x:v>
      </x:c>
    </x:row>
  </x:sheetData>
  <x:dataValidations count="11">
    <x:dataValidation type="decimal" operator="between" sqref="E6">
      <x:formula1>0</x:formula1>
      <x:formula2>1</x:formula2>
    </x:dataValidation>
    <x:dataValidation type="decimal" operator="between" sqref="E7">
      <x:formula1>0</x:formula1>
      <x:formula2>1</x:formula2>
    </x:dataValidation>
    <x:dataValidation type="decimal" operator="between" sqref="E11">
      <x:formula1>0</x:formula1>
      <x:formula2>1</x:formula2>
    </x:dataValidation>
    <x:dataValidation type="decimal" operator="between" sqref="E12">
      <x:formula1>0</x:formula1>
      <x:formula2>1</x:formula2>
    </x:dataValidation>
    <x:dataValidation type="decimal" operator="between" sqref="E13">
      <x:formula1>0</x:formula1>
      <x:formula2>1</x:formula2>
    </x:dataValidation>
    <x:dataValidation type="decimal" operator="between" sqref="E14">
      <x:formula1>0</x:formula1>
      <x:formula2>1</x:formula2>
    </x:dataValidation>
    <x:dataValidation type="decimal" operator="between" sqref="E15">
      <x:formula1>0</x:formula1>
      <x:formula2>1</x:formula2>
    </x:dataValidation>
    <x:dataValidation type="decimal" operator="between" sqref="E16">
      <x:formula1>0</x:formula1>
      <x:formula2>5</x:formula2>
    </x:dataValidation>
    <x:dataValidation type="whole" operator="between" sqref="E17">
      <x:formula1>0</x:formula1>
      <x:formula2>50</x:formula2>
    </x:dataValidation>
    <x:dataValidation type="list" sqref="I6:I24">
      <x:formula1>"完整,部分,未知"</x:formula1>
    </x:dataValidation>
    <x:dataValidation type="list" sqref="N6:N24">
      <x:formula1>"实测,估算,假设,待采集"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344781ce51549e6"/>
  </x:tableParts>
</x:worksheet>
</file>